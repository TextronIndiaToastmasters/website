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s00\AppData\Local\Microsoft\Windows\INetCache\Content.Outlook\NXJ14XRZ\"/>
    </mc:Choice>
  </mc:AlternateContent>
  <xr:revisionPtr revIDLastSave="0" documentId="13_ncr:1_{141FF24D-1F51-4749-A223-6FAB761ACCFE}" xr6:coauthVersionLast="47" xr6:coauthVersionMax="47" xr10:uidLastSave="{00000000-0000-0000-0000-000000000000}"/>
  <bookViews>
    <workbookView xWindow="28680" yWindow="1215" windowWidth="29040" windowHeight="15720" activeTab="3" xr2:uid="{00000000-000D-0000-FFFF-FFFF00000000}"/>
  </bookViews>
  <sheets>
    <sheet name="Attendence" sheetId="5" r:id="rId1"/>
    <sheet name="Role Takers" sheetId="6" r:id="rId2"/>
    <sheet name="Role Takers (points)" sheetId="10" r:id="rId3"/>
    <sheet name="Buddy Olympics" sheetId="9" r:id="rId4"/>
    <sheet name="People Choice Award" sheetId="11" r:id="rId5"/>
  </sheets>
  <functionGroups builtInGroupCount="19"/>
  <definedNames>
    <definedName name="_xlnm._FilterDatabase" localSheetId="0" hidden="1">Attendence!$A$1:$S$38</definedName>
    <definedName name="_xlnm._FilterDatabase" localSheetId="3" hidden="1">'Buddy Olympics'!$A$1:$R$38</definedName>
    <definedName name="_xlnm._FilterDatabase" localSheetId="1" hidden="1">'Role Takers'!$A$1:$P$38</definedName>
    <definedName name="_xlnm._FilterDatabase" localSheetId="2" hidden="1">'Role Takers (points)'!$A$1:$Z$38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5" l="1"/>
  <c r="S3" i="5" s="1"/>
  <c r="R4" i="5"/>
  <c r="S4" i="5" s="1"/>
  <c r="R5" i="5"/>
  <c r="R6" i="5"/>
  <c r="S6" i="5" s="1"/>
  <c r="R7" i="5"/>
  <c r="R8" i="5"/>
  <c r="R9" i="5"/>
  <c r="R10" i="5"/>
  <c r="R11" i="5"/>
  <c r="R12" i="5"/>
  <c r="S12" i="5" s="1"/>
  <c r="R13" i="5"/>
  <c r="S13" i="5" s="1"/>
  <c r="R14" i="5"/>
  <c r="R15" i="5"/>
  <c r="R16" i="5"/>
  <c r="S16" i="5" s="1"/>
  <c r="R17" i="5"/>
  <c r="S17" i="5" s="1"/>
  <c r="R18" i="5"/>
  <c r="S18" i="5" s="1"/>
  <c r="R19" i="5"/>
  <c r="S19" i="5" s="1"/>
  <c r="R20" i="5"/>
  <c r="R21" i="5"/>
  <c r="R22" i="5"/>
  <c r="S22" i="5" s="1"/>
  <c r="R23" i="5"/>
  <c r="R24" i="5"/>
  <c r="R25" i="5"/>
  <c r="R26" i="5"/>
  <c r="R27" i="5"/>
  <c r="R28" i="5"/>
  <c r="R29" i="5"/>
  <c r="R30" i="5"/>
  <c r="R31" i="5"/>
  <c r="R32" i="5"/>
  <c r="S32" i="5" s="1"/>
  <c r="R33" i="5"/>
  <c r="S33" i="5" s="1"/>
  <c r="R34" i="5"/>
  <c r="S34" i="5" s="1"/>
  <c r="R35" i="5"/>
  <c r="S35" i="5" s="1"/>
  <c r="R36" i="5"/>
  <c r="R37" i="5"/>
  <c r="R38" i="5"/>
  <c r="S38" i="5" s="1"/>
  <c r="S5" i="5"/>
  <c r="S7" i="5"/>
  <c r="S8" i="5"/>
  <c r="S9" i="5"/>
  <c r="S10" i="5"/>
  <c r="S11" i="5"/>
  <c r="S14" i="5"/>
  <c r="S15" i="5"/>
  <c r="S20" i="5"/>
  <c r="S21" i="5"/>
  <c r="S23" i="5"/>
  <c r="S24" i="5"/>
  <c r="S25" i="5"/>
  <c r="S26" i="5"/>
  <c r="S27" i="5"/>
  <c r="S28" i="5"/>
  <c r="S29" i="5"/>
  <c r="S30" i="5"/>
  <c r="S31" i="5"/>
  <c r="S36" i="5"/>
  <c r="S37" i="5"/>
  <c r="S2" i="5"/>
  <c r="R2" i="5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2" i="10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2" i="9"/>
  <c r="U2" i="9" a="1"/>
  <c r="W2" i="9" a="1"/>
  <c r="X2" i="9" a="1"/>
  <c r="V2" i="9" a="1"/>
  <c r="Y2" i="9" a="1"/>
  <c r="Z2" i="9" a="1"/>
  <c r="Q36" i="9" l="1"/>
  <c r="Q3" i="9"/>
  <c r="Q18" i="9"/>
  <c r="Q33" i="9"/>
  <c r="Q32" i="9"/>
  <c r="Q20" i="9"/>
  <c r="Q19" i="9"/>
  <c r="Q14" i="9"/>
  <c r="Q4" i="9"/>
  <c r="Q35" i="9"/>
  <c r="Q34" i="9"/>
  <c r="Q31" i="9"/>
  <c r="Q30" i="9"/>
  <c r="Q17" i="9"/>
  <c r="Q16" i="9"/>
  <c r="Q15" i="9"/>
  <c r="Q29" i="9"/>
  <c r="Q13" i="9"/>
  <c r="Q28" i="9"/>
  <c r="Q12" i="9"/>
  <c r="Q27" i="9"/>
  <c r="Q11" i="9"/>
  <c r="Q26" i="9"/>
  <c r="Q10" i="9"/>
  <c r="Q25" i="9"/>
  <c r="Q9" i="9"/>
  <c r="Q24" i="9"/>
  <c r="Q8" i="9"/>
  <c r="Q23" i="9"/>
  <c r="Q7" i="9"/>
  <c r="Q38" i="9"/>
  <c r="Q22" i="9"/>
  <c r="Q6" i="9"/>
  <c r="Q37" i="9"/>
  <c r="Q21" i="9"/>
  <c r="Q5" i="9"/>
  <c r="Q2" i="9"/>
  <c r="Q2" i="10"/>
  <c r="X2" i="9"/>
  <c r="Z2" i="9"/>
  <c r="Y2" i="9"/>
  <c r="W2" i="9"/>
  <c r="V2" i="9"/>
  <c r="U2" i="9"/>
  <c r="Q31" i="10"/>
  <c r="Q6" i="10"/>
  <c r="Q22" i="10"/>
  <c r="Q38" i="10"/>
  <c r="Q3" i="10"/>
  <c r="Q9" i="10"/>
  <c r="Q7" i="10"/>
  <c r="Q32" i="10"/>
  <c r="Q8" i="10"/>
  <c r="Q21" i="10"/>
  <c r="Q16" i="10"/>
  <c r="Q10" i="10"/>
  <c r="Q23" i="10"/>
  <c r="Q4" i="10"/>
  <c r="Q37" i="10"/>
  <c r="Q5" i="10"/>
  <c r="Q36" i="10"/>
  <c r="Q20" i="10"/>
  <c r="Q35" i="10"/>
  <c r="Q19" i="10"/>
  <c r="Q17" i="10"/>
  <c r="Q12" i="10"/>
  <c r="Q25" i="10"/>
  <c r="Q24" i="10"/>
  <c r="Q34" i="10"/>
  <c r="Q15" i="10"/>
  <c r="Q27" i="10"/>
  <c r="Q11" i="10"/>
  <c r="Q18" i="10"/>
  <c r="Q14" i="10"/>
  <c r="Q26" i="10"/>
  <c r="Q13" i="10"/>
  <c r="Q30" i="10"/>
  <c r="Q29" i="10"/>
  <c r="Q28" i="10"/>
  <c r="Q3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<sst xmlns="http://schemas.openxmlformats.org/spreadsheetml/2006/main" count="366" uniqueCount="84">
  <si>
    <t>Names</t>
  </si>
  <si>
    <t>Bindushree L</t>
  </si>
  <si>
    <t>Girish Kaushal</t>
  </si>
  <si>
    <t>Sayeed Ahamed K I</t>
  </si>
  <si>
    <t>Vimal Raj B</t>
  </si>
  <si>
    <t>Arjun Krishna SR</t>
  </si>
  <si>
    <t>Punyashree B</t>
  </si>
  <si>
    <t>Raja Aroganan R</t>
  </si>
  <si>
    <t>Rakesh Katti</t>
  </si>
  <si>
    <t>Sadhana Bhat</t>
  </si>
  <si>
    <t>Shobhitha KS</t>
  </si>
  <si>
    <t>Sooraj Kumar</t>
  </si>
  <si>
    <t>Vikas Nambirajan</t>
  </si>
  <si>
    <t>Vinay Sarigoppula</t>
  </si>
  <si>
    <t>Vishal Baligar</t>
  </si>
  <si>
    <t>Jinu Joy</t>
  </si>
  <si>
    <t>Shilpasri B M</t>
  </si>
  <si>
    <t>Sergeant At Arms</t>
  </si>
  <si>
    <t>Toastmaster of the Day</t>
  </si>
  <si>
    <t>Total</t>
  </si>
  <si>
    <t>Arpan Mondal</t>
  </si>
  <si>
    <t>Simran Chibber</t>
  </si>
  <si>
    <t>Chanchal Joshy</t>
  </si>
  <si>
    <t>Total - A</t>
  </si>
  <si>
    <t>Percentage</t>
  </si>
  <si>
    <t>Akash M</t>
  </si>
  <si>
    <t>Balaji Narayanappa</t>
  </si>
  <si>
    <t>Bharath R</t>
  </si>
  <si>
    <t>Govindaraj T</t>
  </si>
  <si>
    <t>Magisha K</t>
  </si>
  <si>
    <t>Nisha L</t>
  </si>
  <si>
    <t xml:space="preserve">Pavan Kumar T R            </t>
  </si>
  <si>
    <t>Rajshekar P</t>
  </si>
  <si>
    <t>Ravikiran NS</t>
  </si>
  <si>
    <t>Sathwik M S</t>
  </si>
  <si>
    <t>Sharath S</t>
  </si>
  <si>
    <t>Shreyas M</t>
  </si>
  <si>
    <t xml:space="preserve">Sonia BV </t>
  </si>
  <si>
    <t>Suma Kola</t>
  </si>
  <si>
    <t>Suraj Kumbhar</t>
  </si>
  <si>
    <t>Vasamsetti KrishnaChaitanya</t>
  </si>
  <si>
    <t xml:space="preserve">Vijaya S Rao </t>
  </si>
  <si>
    <t>Vishnukumar K R</t>
  </si>
  <si>
    <t>Took timer Role for Table Topics only</t>
  </si>
  <si>
    <t>Table Topics Master</t>
  </si>
  <si>
    <t>General Evaluator</t>
  </si>
  <si>
    <t>Timer</t>
  </si>
  <si>
    <t>Gramarien</t>
  </si>
  <si>
    <t>Evaluator</t>
  </si>
  <si>
    <t>Speaker</t>
  </si>
  <si>
    <t>Ah Counter</t>
  </si>
  <si>
    <t>Points</t>
  </si>
  <si>
    <t>Total Attendance &amp; RT</t>
  </si>
  <si>
    <t>Total Attendance &amp; RT (No Need)</t>
  </si>
  <si>
    <t xml:space="preserve">Total RT </t>
  </si>
  <si>
    <t>Best Speaker</t>
  </si>
  <si>
    <t>Raja R</t>
  </si>
  <si>
    <t>Sayeed</t>
  </si>
  <si>
    <t>Best TT Speaker</t>
  </si>
  <si>
    <t>Vimal</t>
  </si>
  <si>
    <t>Best Evaluator</t>
  </si>
  <si>
    <t>Girish</t>
  </si>
  <si>
    <t>Best Tag Role</t>
  </si>
  <si>
    <t>Magisha</t>
  </si>
  <si>
    <t>Shilpa</t>
  </si>
  <si>
    <t>Best Leadership Role</t>
  </si>
  <si>
    <t>Vikas</t>
  </si>
  <si>
    <t>Usha (Guest)</t>
  </si>
  <si>
    <t>Sathwik</t>
  </si>
  <si>
    <t>Nisha</t>
  </si>
  <si>
    <t>ON-SITE</t>
  </si>
  <si>
    <t>Vijaya</t>
  </si>
  <si>
    <t>Arpan</t>
  </si>
  <si>
    <t>Suraj</t>
  </si>
  <si>
    <t>Online Moderator</t>
  </si>
  <si>
    <t>Contest Chair</t>
  </si>
  <si>
    <t>Contest Master</t>
  </si>
  <si>
    <t>Sooraj</t>
  </si>
  <si>
    <t>Vijaya , Sathwik</t>
  </si>
  <si>
    <t>Ravi</t>
  </si>
  <si>
    <t>Shobitha</t>
  </si>
  <si>
    <t>Tejaswini (Guest)</t>
  </si>
  <si>
    <t>Vishnu</t>
  </si>
  <si>
    <t>Speaker, Table Topics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</si>
</sst>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name val="Times New Roman"/>
      <family val="1"/>
    </font>
    <font>
      <b/>
      <sz val="14"/>
      <color theme="8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434343"/>
      <name val="Times New Roman"/>
      <family val="1"/>
    </font>
    <font>
      <b/>
      <sz val="11"/>
      <color rgb="FF000000"/>
      <name val="Times New Roman"/>
      <family val="1"/>
    </font>
    <font>
      <b/>
      <sz val="8"/>
      <color theme="1"/>
      <name val="Segoe UI"/>
      <family val="2"/>
    </font>
    <font>
      <b/>
      <sz val="16"/>
      <color rgb="FFFF000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6"/>
      <color theme="7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4"/>
      <color theme="2" tint="-0.749992370372631"/>
      <name val="Times New Roman"/>
      <family val="1"/>
    </font>
    <font>
      <b/>
      <sz val="16"/>
      <color rgb="FF434343"/>
      <name val="Times New Roman"/>
      <family val="1"/>
    </font>
    <font>
      <b/>
      <sz val="16"/>
      <color rgb="FF000000"/>
      <name val="Times New Roman"/>
      <family val="1"/>
    </font>
    <font>
      <sz val="16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434343"/>
      <name val="Times New Roman"/>
      <family val="1"/>
    </font>
    <font>
      <b/>
      <sz val="20"/>
      <color rgb="FF000000"/>
      <name val="Times New Roman"/>
      <family val="1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15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7" fillId="0" borderId="1" xfId="0" applyFont="1" applyBorder="1"/>
    <xf numFmtId="0" fontId="3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6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9" fontId="5" fillId="0" borderId="1" xfId="0" applyNumberFormat="1" applyFont="1" applyBorder="1" applyAlignment="1">
      <alignment horizontal="center"/>
    </xf>
    <xf numFmtId="15" fontId="8" fillId="2" borderId="1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9" fillId="12" borderId="1" xfId="0" applyFont="1" applyFill="1" applyBorder="1" applyAlignment="1">
      <alignment horizontal="center"/>
    </xf>
    <xf numFmtId="12" fontId="5" fillId="0" borderId="1" xfId="0" applyNumberFormat="1" applyFont="1" applyBorder="1" applyAlignment="1">
      <alignment horizontal="center"/>
    </xf>
    <xf numFmtId="12" fontId="1" fillId="0" borderId="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/>
    <xf numFmtId="1" fontId="4" fillId="0" borderId="1" xfId="0" applyNumberFormat="1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12" fontId="2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23" fillId="10" borderId="1" xfId="0" applyFont="1" applyFill="1" applyBorder="1" applyAlignment="1">
      <alignment horizontal="left" vertical="center" wrapText="1"/>
    </xf>
    <xf numFmtId="0" fontId="23" fillId="11" borderId="1" xfId="0" applyFont="1" applyFill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/>
    </xf>
    <xf numFmtId="0" fontId="25" fillId="0" borderId="0" xfId="0" applyFont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left" vertical="center" wrapText="1"/>
    </xf>
    <xf numFmtId="0" fontId="27" fillId="10" borderId="1" xfId="0" applyFont="1" applyFill="1" applyBorder="1" applyAlignment="1">
      <alignment horizontal="left" vertical="center" wrapText="1"/>
    </xf>
    <xf numFmtId="0" fontId="27" fillId="11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center" wrapText="1"/>
    </xf>
    <xf numFmtId="12" fontId="4" fillId="0" borderId="1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0" fillId="0" borderId="0" xfId="0" applyFont="1"/>
    <xf numFmtId="12" fontId="4" fillId="0" borderId="1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143F5E-4E36-4EC4-A344-D02CB9040985}">
  <we:reference id="bb3288e4-28bb-4aa6-a699-945175795b64" version="1.0.0.1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C710-9BDF-4992-9B46-B422DD9CF9AC}">
  <sheetPr codeName="Sheet1"/>
  <dimension ref="A1:S46"/>
  <sheetViews>
    <sheetView zoomScale="70" zoomScaleNormal="70" workbookViewId="0">
      <selection activeCell="R10" sqref="R10"/>
    </sheetView>
  </sheetViews>
  <sheetFormatPr defaultRowHeight="21" x14ac:dyDescent="0.4"/>
  <cols>
    <col min="1" max="1" width="30.109375" style="62" customWidth="1"/>
    <col min="2" max="4" width="11.77734375" customWidth="1"/>
    <col min="5" max="5" width="17.77734375" customWidth="1"/>
    <col min="6" max="8" width="18.33203125" customWidth="1"/>
    <col min="9" max="15" width="17.77734375" customWidth="1"/>
    <col min="18" max="18" width="30.109375" style="35" customWidth="1"/>
    <col min="19" max="19" width="15.44140625" customWidth="1"/>
  </cols>
  <sheetData>
    <row r="1" spans="1:19" ht="20.399999999999999" x14ac:dyDescent="0.35">
      <c r="A1" s="2" t="s">
        <v>0</v>
      </c>
      <c r="B1" s="24">
        <v>46205</v>
      </c>
      <c r="C1" s="24">
        <v>46211</v>
      </c>
      <c r="D1" s="24">
        <v>46219</v>
      </c>
      <c r="E1" s="24">
        <v>46226</v>
      </c>
      <c r="F1" s="24">
        <v>46233</v>
      </c>
      <c r="G1" s="24">
        <v>46240</v>
      </c>
      <c r="H1" s="24">
        <v>46247</v>
      </c>
      <c r="I1" s="24">
        <v>46254</v>
      </c>
      <c r="J1" s="24">
        <v>46261</v>
      </c>
      <c r="K1" s="24">
        <v>46268</v>
      </c>
      <c r="L1" s="24">
        <v>46275</v>
      </c>
      <c r="M1" s="24">
        <v>46282</v>
      </c>
      <c r="N1" s="24">
        <v>46289</v>
      </c>
      <c r="O1" s="24">
        <v>46295</v>
      </c>
      <c r="P1" s="31"/>
      <c r="Q1" s="31"/>
      <c r="R1" s="33" t="s">
        <v>51</v>
      </c>
      <c r="S1" s="22" t="s">
        <v>24</v>
      </c>
    </row>
    <row r="2" spans="1:19" ht="20.399999999999999" x14ac:dyDescent="0.3">
      <c r="A2" s="57" t="s">
        <v>25</v>
      </c>
      <c r="B2" s="5"/>
      <c r="C2" s="5">
        <v>1</v>
      </c>
      <c r="D2" s="5">
        <v>1</v>
      </c>
      <c r="E2" s="5">
        <v>1</v>
      </c>
      <c r="F2" s="56">
        <v>1</v>
      </c>
      <c r="G2" s="56">
        <v>1</v>
      </c>
      <c r="H2" s="56">
        <v>1</v>
      </c>
      <c r="I2" s="71">
        <v>1</v>
      </c>
      <c r="J2" s="71">
        <v>1</v>
      </c>
      <c r="K2" s="74">
        <v>1</v>
      </c>
      <c r="L2" s="74">
        <v>1</v>
      </c>
      <c r="M2" s="74">
        <v>1</v>
      </c>
      <c r="N2" s="74">
        <v>1</v>
      </c>
      <c r="O2" s="74">
        <v>1</v>
      </c>
      <c r="P2" s="31"/>
      <c r="Q2" s="31"/>
      <c r="R2" s="34">
        <f>SUM(B2:O2)*2</f>
        <v>26</v>
      </c>
      <c r="S2" s="23">
        <f>R2/28</f>
        <v>0.9285714285714286</v>
      </c>
    </row>
    <row r="3" spans="1:19" ht="20.399999999999999" x14ac:dyDescent="0.3">
      <c r="A3" s="58" t="s">
        <v>5</v>
      </c>
      <c r="B3" s="4"/>
      <c r="C3" s="4"/>
      <c r="D3" s="4"/>
      <c r="E3" s="4"/>
      <c r="F3" s="56"/>
      <c r="G3" s="56">
        <v>1</v>
      </c>
      <c r="H3" s="56"/>
      <c r="I3" s="71">
        <v>1</v>
      </c>
      <c r="J3" s="71"/>
      <c r="K3" s="74"/>
      <c r="L3" s="74">
        <v>1</v>
      </c>
      <c r="M3" s="74">
        <v>1</v>
      </c>
      <c r="N3" s="74"/>
      <c r="O3" s="74">
        <v>1</v>
      </c>
      <c r="P3" s="31"/>
      <c r="Q3" s="31"/>
      <c r="R3" s="34">
        <f t="shared" ref="R3:R38" si="0">SUM(B3:O3)*2</f>
        <v>10</v>
      </c>
      <c r="S3" s="23">
        <f t="shared" ref="S3:S38" si="1">R3/28</f>
        <v>0.35714285714285715</v>
      </c>
    </row>
    <row r="4" spans="1:19" ht="17.399999999999999" customHeight="1" x14ac:dyDescent="0.3">
      <c r="A4" s="58" t="s">
        <v>20</v>
      </c>
      <c r="B4" s="4"/>
      <c r="C4" s="4">
        <v>1</v>
      </c>
      <c r="D4" s="4">
        <v>1</v>
      </c>
      <c r="E4" s="4">
        <v>1</v>
      </c>
      <c r="F4" s="56">
        <v>1</v>
      </c>
      <c r="G4" s="56">
        <v>1</v>
      </c>
      <c r="H4" s="56"/>
      <c r="I4" s="71">
        <v>1</v>
      </c>
      <c r="J4" s="71">
        <v>1</v>
      </c>
      <c r="K4" s="74">
        <v>1</v>
      </c>
      <c r="L4" s="74">
        <v>1</v>
      </c>
      <c r="M4" s="74"/>
      <c r="N4" s="74">
        <v>1</v>
      </c>
      <c r="O4" s="74">
        <v>1</v>
      </c>
      <c r="P4" s="31"/>
      <c r="Q4" s="31"/>
      <c r="R4" s="34">
        <f t="shared" si="0"/>
        <v>22</v>
      </c>
      <c r="S4" s="23">
        <f t="shared" si="1"/>
        <v>0.7857142857142857</v>
      </c>
    </row>
    <row r="5" spans="1:19" ht="20.399999999999999" x14ac:dyDescent="0.3">
      <c r="A5" s="58" t="s">
        <v>26</v>
      </c>
      <c r="B5" s="30"/>
      <c r="C5" s="30"/>
      <c r="D5" s="30"/>
      <c r="E5" s="30"/>
      <c r="F5" s="56"/>
      <c r="G5" s="56"/>
      <c r="H5" s="56"/>
      <c r="I5" s="71"/>
      <c r="J5" s="71">
        <v>1</v>
      </c>
      <c r="K5" s="74">
        <v>1</v>
      </c>
      <c r="L5" s="74"/>
      <c r="M5" s="74"/>
      <c r="N5" s="74"/>
      <c r="O5" s="74"/>
      <c r="P5" s="31"/>
      <c r="Q5" s="31"/>
      <c r="R5" s="34">
        <f t="shared" si="0"/>
        <v>4</v>
      </c>
      <c r="S5" s="23">
        <f t="shared" si="1"/>
        <v>0.14285714285714285</v>
      </c>
    </row>
    <row r="6" spans="1:19" ht="20.399999999999999" x14ac:dyDescent="0.3">
      <c r="A6" s="57" t="s">
        <v>27</v>
      </c>
      <c r="B6" s="5"/>
      <c r="C6" s="5"/>
      <c r="D6" s="5"/>
      <c r="E6" s="5"/>
      <c r="F6" s="56"/>
      <c r="G6" s="56"/>
      <c r="H6" s="56"/>
      <c r="I6" s="71">
        <v>1</v>
      </c>
      <c r="J6" s="71"/>
      <c r="K6" s="74">
        <v>1</v>
      </c>
      <c r="L6" s="74"/>
      <c r="M6" s="74"/>
      <c r="N6" s="74"/>
      <c r="O6" s="74">
        <v>1</v>
      </c>
      <c r="P6" s="31"/>
      <c r="Q6" s="31"/>
      <c r="R6" s="34">
        <f t="shared" si="0"/>
        <v>6</v>
      </c>
      <c r="S6" s="23">
        <f t="shared" si="1"/>
        <v>0.21428571428571427</v>
      </c>
    </row>
    <row r="7" spans="1:19" ht="20.399999999999999" x14ac:dyDescent="0.3">
      <c r="A7" s="59" t="s">
        <v>1</v>
      </c>
      <c r="B7" s="5">
        <v>1</v>
      </c>
      <c r="C7" s="5"/>
      <c r="D7" s="5"/>
      <c r="E7" s="5">
        <v>1</v>
      </c>
      <c r="F7" s="56"/>
      <c r="G7" s="56">
        <v>1</v>
      </c>
      <c r="H7" s="56">
        <v>1</v>
      </c>
      <c r="I7" s="71"/>
      <c r="J7" s="71">
        <v>1</v>
      </c>
      <c r="K7" s="74">
        <v>1</v>
      </c>
      <c r="L7" s="74"/>
      <c r="M7" s="74"/>
      <c r="N7" s="74"/>
      <c r="O7" s="74">
        <v>1</v>
      </c>
      <c r="P7" s="31"/>
      <c r="Q7" s="31"/>
      <c r="R7" s="34">
        <f t="shared" si="0"/>
        <v>14</v>
      </c>
      <c r="S7" s="23">
        <f t="shared" si="1"/>
        <v>0.5</v>
      </c>
    </row>
    <row r="8" spans="1:19" ht="20.399999999999999" x14ac:dyDescent="0.3">
      <c r="A8" s="59" t="s">
        <v>22</v>
      </c>
      <c r="B8" s="4"/>
      <c r="C8" s="4">
        <v>1</v>
      </c>
      <c r="D8" s="4"/>
      <c r="E8" s="4"/>
      <c r="F8" s="56">
        <v>1</v>
      </c>
      <c r="G8" s="56"/>
      <c r="H8" s="56"/>
      <c r="I8" s="71">
        <v>1</v>
      </c>
      <c r="J8" s="71">
        <v>1</v>
      </c>
      <c r="K8" s="74">
        <v>1</v>
      </c>
      <c r="L8" s="74"/>
      <c r="M8" s="74"/>
      <c r="N8" s="74">
        <v>1</v>
      </c>
      <c r="O8" s="74">
        <v>1</v>
      </c>
      <c r="P8" s="31"/>
      <c r="Q8" s="31"/>
      <c r="R8" s="34">
        <f t="shared" si="0"/>
        <v>14</v>
      </c>
      <c r="S8" s="23">
        <f t="shared" si="1"/>
        <v>0.5</v>
      </c>
    </row>
    <row r="9" spans="1:19" ht="20.399999999999999" customHeight="1" x14ac:dyDescent="0.3">
      <c r="A9" s="58" t="s">
        <v>2</v>
      </c>
      <c r="B9" s="4">
        <v>1</v>
      </c>
      <c r="C9" s="4">
        <v>1</v>
      </c>
      <c r="D9" s="4">
        <v>1</v>
      </c>
      <c r="E9" s="4">
        <v>1</v>
      </c>
      <c r="F9" s="56">
        <v>1</v>
      </c>
      <c r="G9" s="56">
        <v>1</v>
      </c>
      <c r="H9" s="56">
        <v>1</v>
      </c>
      <c r="I9" s="71">
        <v>1</v>
      </c>
      <c r="J9" s="71">
        <v>1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31"/>
      <c r="Q9" s="31"/>
      <c r="R9" s="34">
        <f t="shared" si="0"/>
        <v>28</v>
      </c>
      <c r="S9" s="23">
        <f t="shared" si="1"/>
        <v>1</v>
      </c>
    </row>
    <row r="10" spans="1:19" ht="20.399999999999999" x14ac:dyDescent="0.3">
      <c r="A10" s="58" t="s">
        <v>28</v>
      </c>
      <c r="B10" s="4">
        <v>1</v>
      </c>
      <c r="C10" s="4"/>
      <c r="D10" s="4">
        <v>1</v>
      </c>
      <c r="E10" s="4">
        <v>1</v>
      </c>
      <c r="F10" s="56"/>
      <c r="G10" s="56">
        <v>1</v>
      </c>
      <c r="H10" s="56">
        <v>1</v>
      </c>
      <c r="I10" s="71">
        <v>1</v>
      </c>
      <c r="J10" s="71">
        <v>1</v>
      </c>
      <c r="K10" s="74">
        <v>1</v>
      </c>
      <c r="L10" s="74">
        <v>1</v>
      </c>
      <c r="M10" s="74"/>
      <c r="N10" s="74"/>
      <c r="O10" s="74">
        <v>1</v>
      </c>
      <c r="P10" s="31"/>
      <c r="Q10" s="31"/>
      <c r="R10" s="34">
        <f t="shared" si="0"/>
        <v>20</v>
      </c>
      <c r="S10" s="23">
        <f t="shared" si="1"/>
        <v>0.7142857142857143</v>
      </c>
    </row>
    <row r="11" spans="1:19" ht="20.399999999999999" x14ac:dyDescent="0.3">
      <c r="A11" s="58" t="s">
        <v>15</v>
      </c>
      <c r="B11" s="4"/>
      <c r="C11" s="4">
        <v>1</v>
      </c>
      <c r="D11" s="4">
        <v>1</v>
      </c>
      <c r="E11" s="4"/>
      <c r="F11" s="56"/>
      <c r="G11" s="56">
        <v>1</v>
      </c>
      <c r="H11" s="56"/>
      <c r="I11" s="71"/>
      <c r="J11" s="71">
        <v>1</v>
      </c>
      <c r="K11" s="74"/>
      <c r="L11" s="74">
        <v>1</v>
      </c>
      <c r="M11" s="74"/>
      <c r="N11" s="74"/>
      <c r="O11" s="74">
        <v>1</v>
      </c>
      <c r="P11" s="31"/>
      <c r="Q11" s="31"/>
      <c r="R11" s="34">
        <f t="shared" si="0"/>
        <v>12</v>
      </c>
      <c r="S11" s="23">
        <f t="shared" si="1"/>
        <v>0.42857142857142855</v>
      </c>
    </row>
    <row r="12" spans="1:19" ht="20.399999999999999" x14ac:dyDescent="0.3">
      <c r="A12" s="59" t="s">
        <v>29</v>
      </c>
      <c r="B12" s="4">
        <v>1</v>
      </c>
      <c r="C12" s="4">
        <v>1</v>
      </c>
      <c r="D12" s="4">
        <v>1</v>
      </c>
      <c r="E12" s="4">
        <v>1</v>
      </c>
      <c r="F12" s="56">
        <v>1</v>
      </c>
      <c r="G12" s="56">
        <v>1</v>
      </c>
      <c r="H12" s="56">
        <v>1</v>
      </c>
      <c r="I12" s="71">
        <v>1</v>
      </c>
      <c r="J12" s="71"/>
      <c r="K12" s="74">
        <v>1</v>
      </c>
      <c r="L12" s="74">
        <v>1</v>
      </c>
      <c r="M12" s="74">
        <v>1</v>
      </c>
      <c r="N12" s="74">
        <v>1</v>
      </c>
      <c r="O12" s="74">
        <v>1</v>
      </c>
      <c r="P12" s="31"/>
      <c r="Q12" s="31"/>
      <c r="R12" s="34">
        <f t="shared" si="0"/>
        <v>26</v>
      </c>
      <c r="S12" s="23">
        <f t="shared" si="1"/>
        <v>0.9285714285714286</v>
      </c>
    </row>
    <row r="13" spans="1:19" ht="20.399999999999999" x14ac:dyDescent="0.3">
      <c r="A13" s="57" t="s">
        <v>30</v>
      </c>
      <c r="B13" s="4">
        <v>1</v>
      </c>
      <c r="C13" s="4">
        <v>1</v>
      </c>
      <c r="D13" s="4">
        <v>1</v>
      </c>
      <c r="E13" s="4"/>
      <c r="F13" s="56">
        <v>1</v>
      </c>
      <c r="G13" s="56"/>
      <c r="H13" s="56">
        <v>1</v>
      </c>
      <c r="I13" s="71">
        <v>1</v>
      </c>
      <c r="J13" s="71">
        <v>1</v>
      </c>
      <c r="K13" s="74">
        <v>1</v>
      </c>
      <c r="L13" s="74">
        <v>1</v>
      </c>
      <c r="M13" s="74">
        <v>1</v>
      </c>
      <c r="N13" s="74">
        <v>1</v>
      </c>
      <c r="O13" s="74"/>
      <c r="P13" s="31"/>
      <c r="Q13" s="31"/>
      <c r="R13" s="34">
        <f t="shared" si="0"/>
        <v>22</v>
      </c>
      <c r="S13" s="23">
        <f t="shared" si="1"/>
        <v>0.7857142857142857</v>
      </c>
    </row>
    <row r="14" spans="1:19" ht="40.799999999999997" x14ac:dyDescent="0.3">
      <c r="A14" s="57" t="s">
        <v>31</v>
      </c>
      <c r="B14" s="5">
        <v>1</v>
      </c>
      <c r="C14" s="5"/>
      <c r="D14" s="5">
        <v>1</v>
      </c>
      <c r="E14" s="5">
        <v>1</v>
      </c>
      <c r="F14" s="56">
        <v>1</v>
      </c>
      <c r="G14" s="56">
        <v>1</v>
      </c>
      <c r="H14" s="56"/>
      <c r="I14" s="71"/>
      <c r="J14" s="71"/>
      <c r="K14" s="74"/>
      <c r="L14" s="74"/>
      <c r="M14" s="74"/>
      <c r="N14" s="74"/>
      <c r="O14" s="74"/>
      <c r="P14" s="31"/>
      <c r="Q14" s="31"/>
      <c r="R14" s="34">
        <f t="shared" si="0"/>
        <v>10</v>
      </c>
      <c r="S14" s="23">
        <f t="shared" si="1"/>
        <v>0.35714285714285715</v>
      </c>
    </row>
    <row r="15" spans="1:19" ht="20.399999999999999" x14ac:dyDescent="0.3">
      <c r="A15" s="59" t="s">
        <v>6</v>
      </c>
      <c r="B15" s="5"/>
      <c r="C15" s="5">
        <v>1</v>
      </c>
      <c r="D15" s="5"/>
      <c r="E15" s="5"/>
      <c r="F15" s="56">
        <v>1</v>
      </c>
      <c r="G15" s="56">
        <v>1</v>
      </c>
      <c r="H15" s="56">
        <v>1</v>
      </c>
      <c r="I15" s="71"/>
      <c r="J15" s="71">
        <v>1</v>
      </c>
      <c r="K15" s="74">
        <v>1</v>
      </c>
      <c r="L15" s="74">
        <v>1</v>
      </c>
      <c r="M15" s="74">
        <v>1</v>
      </c>
      <c r="N15" s="74">
        <v>1</v>
      </c>
      <c r="O15" s="74">
        <v>1</v>
      </c>
      <c r="P15" s="31"/>
      <c r="Q15" s="31"/>
      <c r="R15" s="34">
        <f t="shared" si="0"/>
        <v>20</v>
      </c>
      <c r="S15" s="23">
        <f t="shared" si="1"/>
        <v>0.7142857142857143</v>
      </c>
    </row>
    <row r="16" spans="1:19" ht="20.399999999999999" x14ac:dyDescent="0.3">
      <c r="A16" s="58" t="s">
        <v>7</v>
      </c>
      <c r="B16" s="4">
        <v>1</v>
      </c>
      <c r="C16" s="4">
        <v>1</v>
      </c>
      <c r="D16" s="4">
        <v>1</v>
      </c>
      <c r="E16" s="4"/>
      <c r="F16" s="56">
        <v>1</v>
      </c>
      <c r="G16" s="56">
        <v>1</v>
      </c>
      <c r="H16" s="56"/>
      <c r="I16" s="71"/>
      <c r="J16" s="71"/>
      <c r="K16" s="74"/>
      <c r="L16" s="74"/>
      <c r="M16" s="74"/>
      <c r="N16" s="74"/>
      <c r="O16" s="74">
        <v>1</v>
      </c>
      <c r="P16" s="31"/>
      <c r="Q16" s="31"/>
      <c r="R16" s="34">
        <f t="shared" si="0"/>
        <v>12</v>
      </c>
      <c r="S16" s="23">
        <f t="shared" si="1"/>
        <v>0.42857142857142855</v>
      </c>
    </row>
    <row r="17" spans="1:19" ht="20.399999999999999" x14ac:dyDescent="0.3">
      <c r="A17" s="58" t="s">
        <v>32</v>
      </c>
      <c r="B17" s="5">
        <v>1</v>
      </c>
      <c r="C17" s="5"/>
      <c r="D17" s="5">
        <v>1</v>
      </c>
      <c r="E17" s="5"/>
      <c r="F17" s="56"/>
      <c r="G17" s="56">
        <v>1</v>
      </c>
      <c r="H17" s="56">
        <v>1</v>
      </c>
      <c r="I17" s="71"/>
      <c r="J17" s="71"/>
      <c r="K17" s="74"/>
      <c r="L17" s="74"/>
      <c r="M17" s="74"/>
      <c r="N17" s="74"/>
      <c r="O17" s="74"/>
      <c r="P17" s="31"/>
      <c r="Q17" s="31"/>
      <c r="R17" s="34">
        <f t="shared" si="0"/>
        <v>8</v>
      </c>
      <c r="S17" s="23">
        <f t="shared" si="1"/>
        <v>0.2857142857142857</v>
      </c>
    </row>
    <row r="18" spans="1:19" ht="20.399999999999999" x14ac:dyDescent="0.3">
      <c r="A18" s="60" t="s">
        <v>8</v>
      </c>
      <c r="B18" s="4">
        <v>1</v>
      </c>
      <c r="C18" s="4"/>
      <c r="D18" s="4"/>
      <c r="E18" s="4"/>
      <c r="F18" s="56"/>
      <c r="G18" s="56">
        <v>1</v>
      </c>
      <c r="H18" s="56">
        <v>1</v>
      </c>
      <c r="I18" s="71">
        <v>1</v>
      </c>
      <c r="J18" s="71">
        <v>1</v>
      </c>
      <c r="K18" s="74">
        <v>1</v>
      </c>
      <c r="L18" s="74">
        <v>1</v>
      </c>
      <c r="M18" s="74"/>
      <c r="N18" s="74">
        <v>1</v>
      </c>
      <c r="O18" s="74">
        <v>1</v>
      </c>
      <c r="P18" s="31"/>
      <c r="Q18" s="31"/>
      <c r="R18" s="34">
        <f t="shared" si="0"/>
        <v>18</v>
      </c>
      <c r="S18" s="23">
        <f t="shared" si="1"/>
        <v>0.6428571428571429</v>
      </c>
    </row>
    <row r="19" spans="1:19" ht="20.399999999999999" x14ac:dyDescent="0.3">
      <c r="A19" s="58" t="s">
        <v>33</v>
      </c>
      <c r="B19" s="4"/>
      <c r="C19" s="4"/>
      <c r="D19" s="4"/>
      <c r="E19" s="4"/>
      <c r="F19" s="56"/>
      <c r="G19" s="56">
        <v>1</v>
      </c>
      <c r="H19" s="56"/>
      <c r="I19" s="71"/>
      <c r="J19" s="71"/>
      <c r="K19" s="74"/>
      <c r="L19" s="74">
        <v>1</v>
      </c>
      <c r="M19" s="74">
        <v>1</v>
      </c>
      <c r="N19" s="74">
        <v>1</v>
      </c>
      <c r="O19" s="74">
        <v>1</v>
      </c>
      <c r="P19" s="31"/>
      <c r="Q19" s="31"/>
      <c r="R19" s="34">
        <f t="shared" si="0"/>
        <v>10</v>
      </c>
      <c r="S19" s="23">
        <f t="shared" si="1"/>
        <v>0.35714285714285715</v>
      </c>
    </row>
    <row r="20" spans="1:19" ht="20.399999999999999" x14ac:dyDescent="0.3">
      <c r="A20" s="58" t="s">
        <v>9</v>
      </c>
      <c r="B20" s="5"/>
      <c r="C20" s="5"/>
      <c r="D20" s="5"/>
      <c r="E20" s="5"/>
      <c r="F20" s="56"/>
      <c r="G20" s="56"/>
      <c r="H20" s="56"/>
      <c r="I20" s="71"/>
      <c r="J20" s="71"/>
      <c r="K20" s="74"/>
      <c r="L20" s="74"/>
      <c r="M20" s="74"/>
      <c r="N20" s="74"/>
      <c r="O20" s="74"/>
      <c r="P20" s="31"/>
      <c r="Q20" s="31"/>
      <c r="R20" s="34">
        <f t="shared" si="0"/>
        <v>0</v>
      </c>
      <c r="S20" s="23">
        <f t="shared" si="1"/>
        <v>0</v>
      </c>
    </row>
    <row r="21" spans="1:19" ht="20.399999999999999" x14ac:dyDescent="0.3">
      <c r="A21" s="57" t="s">
        <v>34</v>
      </c>
      <c r="B21" s="4">
        <v>1</v>
      </c>
      <c r="C21" s="4">
        <v>1</v>
      </c>
      <c r="D21" s="4">
        <v>1</v>
      </c>
      <c r="E21" s="4">
        <v>1</v>
      </c>
      <c r="F21" s="56">
        <v>1</v>
      </c>
      <c r="G21" s="56">
        <v>1</v>
      </c>
      <c r="H21" s="56">
        <v>1</v>
      </c>
      <c r="I21" s="71">
        <v>1</v>
      </c>
      <c r="J21" s="71">
        <v>1</v>
      </c>
      <c r="K21" s="74">
        <v>1</v>
      </c>
      <c r="L21" s="74">
        <v>1</v>
      </c>
      <c r="M21" s="74">
        <v>1</v>
      </c>
      <c r="N21" s="74">
        <v>1</v>
      </c>
      <c r="O21" s="74">
        <v>1</v>
      </c>
      <c r="P21" s="31"/>
      <c r="Q21" s="31"/>
      <c r="R21" s="34">
        <f t="shared" si="0"/>
        <v>28</v>
      </c>
      <c r="S21" s="23">
        <f t="shared" si="1"/>
        <v>1</v>
      </c>
    </row>
    <row r="22" spans="1:19" ht="20.399999999999999" x14ac:dyDescent="0.3">
      <c r="A22" s="58" t="s">
        <v>3</v>
      </c>
      <c r="B22" s="4">
        <v>1</v>
      </c>
      <c r="C22" s="4">
        <v>1</v>
      </c>
      <c r="D22" s="4">
        <v>1</v>
      </c>
      <c r="E22" s="4">
        <v>1</v>
      </c>
      <c r="F22" s="56">
        <v>1</v>
      </c>
      <c r="G22" s="56">
        <v>1</v>
      </c>
      <c r="H22" s="56">
        <v>1</v>
      </c>
      <c r="I22" s="71"/>
      <c r="J22" s="71">
        <v>1</v>
      </c>
      <c r="K22" s="74">
        <v>1</v>
      </c>
      <c r="L22" s="74">
        <v>1</v>
      </c>
      <c r="M22" s="74">
        <v>1</v>
      </c>
      <c r="N22" s="74">
        <v>1</v>
      </c>
      <c r="O22" s="74">
        <v>1</v>
      </c>
      <c r="P22" s="31"/>
      <c r="Q22" s="31"/>
      <c r="R22" s="34">
        <f t="shared" si="0"/>
        <v>26</v>
      </c>
      <c r="S22" s="23">
        <f t="shared" si="1"/>
        <v>0.9285714285714286</v>
      </c>
    </row>
    <row r="23" spans="1:19" ht="20.399999999999999" x14ac:dyDescent="0.3">
      <c r="A23" s="59" t="s">
        <v>35</v>
      </c>
      <c r="B23" s="4"/>
      <c r="C23" s="4"/>
      <c r="D23" s="4"/>
      <c r="E23" s="4"/>
      <c r="F23" s="56"/>
      <c r="G23" s="56"/>
      <c r="H23" s="56">
        <v>1</v>
      </c>
      <c r="I23" s="71"/>
      <c r="J23" s="71"/>
      <c r="K23" s="74"/>
      <c r="L23" s="74">
        <v>1</v>
      </c>
      <c r="M23" s="74"/>
      <c r="N23" s="74">
        <v>1</v>
      </c>
      <c r="O23" s="74">
        <v>1</v>
      </c>
      <c r="P23" s="31"/>
      <c r="Q23" s="31"/>
      <c r="R23" s="34">
        <f t="shared" si="0"/>
        <v>8</v>
      </c>
      <c r="S23" s="23">
        <f t="shared" si="1"/>
        <v>0.2857142857142857</v>
      </c>
    </row>
    <row r="24" spans="1:19" ht="20.399999999999999" x14ac:dyDescent="0.3">
      <c r="A24" s="59" t="s">
        <v>16</v>
      </c>
      <c r="B24" s="5"/>
      <c r="C24" s="5">
        <v>1</v>
      </c>
      <c r="D24" s="5">
        <v>1</v>
      </c>
      <c r="E24" s="5">
        <v>1</v>
      </c>
      <c r="F24" s="56">
        <v>1</v>
      </c>
      <c r="G24" s="56">
        <v>1</v>
      </c>
      <c r="H24" s="56">
        <v>1</v>
      </c>
      <c r="I24" s="71">
        <v>1</v>
      </c>
      <c r="J24" s="71"/>
      <c r="K24" s="74"/>
      <c r="L24" s="74"/>
      <c r="M24" s="74">
        <v>1</v>
      </c>
      <c r="N24" s="74"/>
      <c r="O24" s="74">
        <v>1</v>
      </c>
      <c r="P24" s="31"/>
      <c r="Q24" s="31"/>
      <c r="R24" s="34">
        <f t="shared" si="0"/>
        <v>18</v>
      </c>
      <c r="S24" s="23">
        <f t="shared" si="1"/>
        <v>0.6428571428571429</v>
      </c>
    </row>
    <row r="25" spans="1:19" ht="20.399999999999999" x14ac:dyDescent="0.3">
      <c r="A25" s="59" t="s">
        <v>10</v>
      </c>
      <c r="B25" s="4">
        <v>1</v>
      </c>
      <c r="C25" s="4">
        <v>1</v>
      </c>
      <c r="D25" s="4"/>
      <c r="E25" s="4">
        <v>1</v>
      </c>
      <c r="F25" s="56"/>
      <c r="G25" s="56">
        <v>1</v>
      </c>
      <c r="H25" s="56">
        <v>1</v>
      </c>
      <c r="I25" s="71">
        <v>1</v>
      </c>
      <c r="J25" s="71"/>
      <c r="K25" s="74">
        <v>1</v>
      </c>
      <c r="L25" s="74">
        <v>1</v>
      </c>
      <c r="M25" s="74"/>
      <c r="N25" s="74">
        <v>1</v>
      </c>
      <c r="O25" s="74">
        <v>1</v>
      </c>
      <c r="P25" s="31"/>
      <c r="Q25" s="31"/>
      <c r="R25" s="34">
        <f t="shared" si="0"/>
        <v>20</v>
      </c>
      <c r="S25" s="23">
        <f t="shared" si="1"/>
        <v>0.7142857142857143</v>
      </c>
    </row>
    <row r="26" spans="1:19" ht="20.399999999999999" x14ac:dyDescent="0.3">
      <c r="A26" s="57" t="s">
        <v>36</v>
      </c>
      <c r="B26" s="4">
        <v>1</v>
      </c>
      <c r="C26" s="4"/>
      <c r="D26" s="4"/>
      <c r="E26" s="4"/>
      <c r="F26" s="56"/>
      <c r="G26" s="56">
        <v>1</v>
      </c>
      <c r="H26" s="56">
        <v>1</v>
      </c>
      <c r="I26" s="71"/>
      <c r="J26" s="71"/>
      <c r="K26" s="74">
        <v>1</v>
      </c>
      <c r="L26" s="74"/>
      <c r="M26" s="74"/>
      <c r="N26" s="74"/>
      <c r="O26" s="74">
        <v>1</v>
      </c>
      <c r="P26" s="31"/>
      <c r="Q26" s="31"/>
      <c r="R26" s="34">
        <f t="shared" si="0"/>
        <v>10</v>
      </c>
      <c r="S26" s="23">
        <f t="shared" si="1"/>
        <v>0.35714285714285715</v>
      </c>
    </row>
    <row r="27" spans="1:19" ht="20.399999999999999" x14ac:dyDescent="0.3">
      <c r="A27" s="58" t="s">
        <v>21</v>
      </c>
      <c r="B27" s="4"/>
      <c r="C27" s="4">
        <v>1</v>
      </c>
      <c r="D27" s="4"/>
      <c r="E27" s="4"/>
      <c r="F27" s="56">
        <v>1</v>
      </c>
      <c r="G27" s="56"/>
      <c r="H27" s="56"/>
      <c r="I27" s="71"/>
      <c r="J27" s="71">
        <v>1</v>
      </c>
      <c r="K27" s="74">
        <v>1</v>
      </c>
      <c r="L27" s="74"/>
      <c r="M27" s="74"/>
      <c r="N27" s="74">
        <v>1</v>
      </c>
      <c r="O27" s="74">
        <v>1</v>
      </c>
      <c r="P27" s="31"/>
      <c r="Q27" s="31"/>
      <c r="R27" s="34">
        <f t="shared" si="0"/>
        <v>12</v>
      </c>
      <c r="S27" s="23">
        <f t="shared" si="1"/>
        <v>0.42857142857142855</v>
      </c>
    </row>
    <row r="28" spans="1:19" ht="20.399999999999999" x14ac:dyDescent="0.3">
      <c r="A28" s="58" t="s">
        <v>37</v>
      </c>
      <c r="B28" s="4">
        <v>1</v>
      </c>
      <c r="C28" s="4"/>
      <c r="D28" s="4"/>
      <c r="E28" s="4"/>
      <c r="F28" s="56"/>
      <c r="G28" s="56">
        <v>1</v>
      </c>
      <c r="H28" s="56"/>
      <c r="I28" s="71">
        <v>1</v>
      </c>
      <c r="J28" s="71">
        <v>1</v>
      </c>
      <c r="K28" s="74"/>
      <c r="L28" s="74"/>
      <c r="M28" s="74"/>
      <c r="N28" s="74"/>
      <c r="O28" s="74"/>
      <c r="P28" s="31"/>
      <c r="Q28" s="31"/>
      <c r="R28" s="34">
        <f t="shared" si="0"/>
        <v>8</v>
      </c>
      <c r="S28" s="23">
        <f t="shared" si="1"/>
        <v>0.2857142857142857</v>
      </c>
    </row>
    <row r="29" spans="1:19" ht="20.399999999999999" x14ac:dyDescent="0.3">
      <c r="A29" s="59" t="s">
        <v>11</v>
      </c>
      <c r="B29" s="4">
        <v>1</v>
      </c>
      <c r="C29" s="76" t="s">
        <v>70</v>
      </c>
      <c r="D29" s="77"/>
      <c r="E29" s="77"/>
      <c r="F29" s="77"/>
      <c r="G29" s="77"/>
      <c r="H29" s="77"/>
      <c r="I29" s="78"/>
      <c r="J29" s="72"/>
      <c r="K29" s="75">
        <v>1</v>
      </c>
      <c r="L29" s="75">
        <v>1</v>
      </c>
      <c r="M29" s="75">
        <v>1</v>
      </c>
      <c r="N29" s="75"/>
      <c r="O29" s="75">
        <v>1</v>
      </c>
      <c r="P29" s="31"/>
      <c r="Q29" s="31"/>
      <c r="R29" s="34">
        <f t="shared" si="0"/>
        <v>10</v>
      </c>
      <c r="S29" s="23">
        <f t="shared" si="1"/>
        <v>0.35714285714285715</v>
      </c>
    </row>
    <row r="30" spans="1:19" ht="20.399999999999999" x14ac:dyDescent="0.3">
      <c r="A30" s="58" t="s">
        <v>38</v>
      </c>
      <c r="B30" s="4"/>
      <c r="C30" s="4"/>
      <c r="D30" s="4"/>
      <c r="E30" s="4"/>
      <c r="F30" s="56"/>
      <c r="G30" s="56">
        <v>1</v>
      </c>
      <c r="H30" s="56"/>
      <c r="I30" s="71"/>
      <c r="J30" s="71"/>
      <c r="K30" s="74"/>
      <c r="L30" s="74">
        <v>1</v>
      </c>
      <c r="M30" s="74">
        <v>1</v>
      </c>
      <c r="N30" s="74"/>
      <c r="O30" s="74">
        <v>1</v>
      </c>
      <c r="P30" s="31"/>
      <c r="Q30" s="31"/>
      <c r="R30" s="34">
        <f t="shared" si="0"/>
        <v>8</v>
      </c>
      <c r="S30" s="23">
        <f t="shared" si="1"/>
        <v>0.2857142857142857</v>
      </c>
    </row>
    <row r="31" spans="1:19" ht="20.399999999999999" x14ac:dyDescent="0.3">
      <c r="A31" s="59" t="s">
        <v>39</v>
      </c>
      <c r="B31" s="4">
        <v>1</v>
      </c>
      <c r="C31" s="4">
        <v>1</v>
      </c>
      <c r="D31" s="4">
        <v>1</v>
      </c>
      <c r="E31" s="4">
        <v>1</v>
      </c>
      <c r="F31" s="56">
        <v>1</v>
      </c>
      <c r="G31" s="56">
        <v>1</v>
      </c>
      <c r="H31" s="56">
        <v>1</v>
      </c>
      <c r="I31" s="71">
        <v>1</v>
      </c>
      <c r="J31" s="71">
        <v>1</v>
      </c>
      <c r="K31" s="74">
        <v>1</v>
      </c>
      <c r="L31" s="74"/>
      <c r="M31" s="74"/>
      <c r="N31" s="74">
        <v>1</v>
      </c>
      <c r="O31" s="74">
        <v>1</v>
      </c>
      <c r="P31" s="31"/>
      <c r="Q31" s="31"/>
      <c r="R31" s="34">
        <f t="shared" si="0"/>
        <v>24</v>
      </c>
      <c r="S31" s="23">
        <f t="shared" si="1"/>
        <v>0.8571428571428571</v>
      </c>
    </row>
    <row r="32" spans="1:19" ht="40.799999999999997" x14ac:dyDescent="0.3">
      <c r="A32" s="57" t="s">
        <v>40</v>
      </c>
      <c r="B32" s="4">
        <v>1</v>
      </c>
      <c r="C32" s="4"/>
      <c r="D32" s="4"/>
      <c r="E32" s="4"/>
      <c r="F32" s="56">
        <v>1</v>
      </c>
      <c r="G32" s="56"/>
      <c r="H32" s="56"/>
      <c r="I32" s="71"/>
      <c r="J32" s="71"/>
      <c r="K32" s="74"/>
      <c r="L32" s="74"/>
      <c r="M32" s="74"/>
      <c r="N32" s="74">
        <v>1</v>
      </c>
      <c r="O32" s="74"/>
      <c r="P32" s="31"/>
      <c r="Q32" s="31"/>
      <c r="R32" s="34">
        <f t="shared" si="0"/>
        <v>6</v>
      </c>
      <c r="S32" s="23">
        <f t="shared" si="1"/>
        <v>0.21428571428571427</v>
      </c>
    </row>
    <row r="33" spans="1:19" ht="20.399999999999999" x14ac:dyDescent="0.3">
      <c r="A33" s="61" t="s">
        <v>41</v>
      </c>
      <c r="B33" s="4"/>
      <c r="C33" s="4"/>
      <c r="D33" s="4"/>
      <c r="E33" s="4">
        <v>1</v>
      </c>
      <c r="F33" s="56"/>
      <c r="G33" s="56">
        <v>1</v>
      </c>
      <c r="H33" s="56">
        <v>1</v>
      </c>
      <c r="I33" s="71">
        <v>1</v>
      </c>
      <c r="J33" s="71">
        <v>1</v>
      </c>
      <c r="K33" s="74">
        <v>1</v>
      </c>
      <c r="L33" s="74">
        <v>1</v>
      </c>
      <c r="M33" s="74"/>
      <c r="N33" s="74">
        <v>1</v>
      </c>
      <c r="O33" s="74">
        <v>1</v>
      </c>
      <c r="P33" s="31"/>
      <c r="Q33" s="31"/>
      <c r="R33" s="34">
        <f t="shared" si="0"/>
        <v>18</v>
      </c>
      <c r="S33" s="23">
        <f t="shared" si="1"/>
        <v>0.6428571428571429</v>
      </c>
    </row>
    <row r="34" spans="1:19" ht="20.399999999999999" x14ac:dyDescent="0.3">
      <c r="A34" s="58" t="s">
        <v>12</v>
      </c>
      <c r="B34" s="4">
        <v>1</v>
      </c>
      <c r="C34" s="4">
        <v>1</v>
      </c>
      <c r="D34" s="4">
        <v>1</v>
      </c>
      <c r="E34" s="4"/>
      <c r="F34" s="56">
        <v>1</v>
      </c>
      <c r="G34" s="56"/>
      <c r="H34" s="56">
        <v>1</v>
      </c>
      <c r="I34" s="71">
        <v>1</v>
      </c>
      <c r="J34" s="71">
        <v>1</v>
      </c>
      <c r="K34" s="74">
        <v>1</v>
      </c>
      <c r="L34" s="74"/>
      <c r="M34" s="74">
        <v>1</v>
      </c>
      <c r="N34" s="74">
        <v>1</v>
      </c>
      <c r="O34" s="74">
        <v>1</v>
      </c>
      <c r="P34" s="31"/>
      <c r="Q34" s="31"/>
      <c r="R34" s="34">
        <f t="shared" si="0"/>
        <v>22</v>
      </c>
      <c r="S34" s="23">
        <f t="shared" si="1"/>
        <v>0.7857142857142857</v>
      </c>
    </row>
    <row r="35" spans="1:19" ht="20.399999999999999" x14ac:dyDescent="0.3">
      <c r="A35" s="59" t="s">
        <v>4</v>
      </c>
      <c r="B35" s="4">
        <v>1</v>
      </c>
      <c r="C35" s="4"/>
      <c r="D35" s="4">
        <v>1</v>
      </c>
      <c r="E35" s="4">
        <v>1</v>
      </c>
      <c r="F35" s="56">
        <v>1</v>
      </c>
      <c r="G35" s="56">
        <v>1</v>
      </c>
      <c r="H35" s="56">
        <v>1</v>
      </c>
      <c r="I35" s="71">
        <v>1</v>
      </c>
      <c r="J35" s="71"/>
      <c r="K35" s="74">
        <v>1</v>
      </c>
      <c r="L35" s="74">
        <v>1</v>
      </c>
      <c r="M35" s="74">
        <v>1</v>
      </c>
      <c r="N35" s="74">
        <v>1</v>
      </c>
      <c r="O35" s="74">
        <v>1</v>
      </c>
      <c r="P35" s="32"/>
      <c r="Q35" s="32"/>
      <c r="R35" s="34">
        <f t="shared" si="0"/>
        <v>24</v>
      </c>
      <c r="S35" s="23">
        <f t="shared" si="1"/>
        <v>0.8571428571428571</v>
      </c>
    </row>
    <row r="36" spans="1:19" ht="20.399999999999999" x14ac:dyDescent="0.3">
      <c r="A36" s="59" t="s">
        <v>13</v>
      </c>
      <c r="B36" s="4">
        <v>1</v>
      </c>
      <c r="C36" s="4"/>
      <c r="D36" s="4"/>
      <c r="E36" s="4"/>
      <c r="F36" s="56"/>
      <c r="G36" s="56"/>
      <c r="H36" s="56"/>
      <c r="I36" s="71"/>
      <c r="J36" s="71"/>
      <c r="K36" s="74">
        <v>1</v>
      </c>
      <c r="L36" s="74">
        <v>1</v>
      </c>
      <c r="M36" s="74">
        <v>1</v>
      </c>
      <c r="N36" s="74">
        <v>1</v>
      </c>
      <c r="O36" s="74"/>
      <c r="P36" s="32"/>
      <c r="Q36" s="32"/>
      <c r="R36" s="34">
        <f t="shared" si="0"/>
        <v>10</v>
      </c>
      <c r="S36" s="23">
        <f t="shared" si="1"/>
        <v>0.35714285714285715</v>
      </c>
    </row>
    <row r="37" spans="1:19" ht="20.399999999999999" x14ac:dyDescent="0.3">
      <c r="A37" s="59" t="s">
        <v>14</v>
      </c>
      <c r="B37" s="4"/>
      <c r="C37" s="4"/>
      <c r="D37" s="4"/>
      <c r="E37" s="4"/>
      <c r="F37" s="56"/>
      <c r="G37" s="56"/>
      <c r="H37" s="56"/>
      <c r="I37" s="71"/>
      <c r="J37" s="71"/>
      <c r="K37" s="74"/>
      <c r="L37" s="74"/>
      <c r="M37" s="74"/>
      <c r="N37" s="74"/>
      <c r="O37" s="74"/>
      <c r="P37" s="32"/>
      <c r="Q37" s="32"/>
      <c r="R37" s="34">
        <f t="shared" si="0"/>
        <v>0</v>
      </c>
      <c r="S37" s="23">
        <f t="shared" si="1"/>
        <v>0</v>
      </c>
    </row>
    <row r="38" spans="1:19" ht="20.399999999999999" x14ac:dyDescent="0.3">
      <c r="A38" s="59" t="s">
        <v>42</v>
      </c>
      <c r="B38" s="4">
        <v>1</v>
      </c>
      <c r="C38" s="4">
        <v>1</v>
      </c>
      <c r="D38" s="4">
        <v>1</v>
      </c>
      <c r="E38" s="4">
        <v>1</v>
      </c>
      <c r="F38" s="56">
        <v>1</v>
      </c>
      <c r="G38" s="56">
        <v>1</v>
      </c>
      <c r="H38" s="56">
        <v>1</v>
      </c>
      <c r="I38" s="71">
        <v>1</v>
      </c>
      <c r="J38" s="71">
        <v>1</v>
      </c>
      <c r="K38" s="74">
        <v>1</v>
      </c>
      <c r="L38" s="74">
        <v>1</v>
      </c>
      <c r="M38" s="74">
        <v>1</v>
      </c>
      <c r="N38" s="74">
        <v>1</v>
      </c>
      <c r="O38" s="74">
        <v>1</v>
      </c>
      <c r="P38" s="32"/>
      <c r="Q38" s="32"/>
      <c r="R38" s="34">
        <f t="shared" si="0"/>
        <v>28</v>
      </c>
      <c r="S38" s="23">
        <f t="shared" si="1"/>
        <v>1</v>
      </c>
    </row>
    <row r="39" spans="1:19" x14ac:dyDescent="0.4">
      <c r="B39" s="19"/>
      <c r="C39" s="19"/>
      <c r="D39" s="19"/>
    </row>
    <row r="40" spans="1:19" ht="20.399999999999999" x14ac:dyDescent="0.35">
      <c r="A40" s="20"/>
      <c r="B40" s="20"/>
      <c r="C40" s="20"/>
      <c r="D40" s="20"/>
    </row>
    <row r="41" spans="1:19" ht="20.399999999999999" x14ac:dyDescent="0.35">
      <c r="A41" s="20"/>
      <c r="B41" s="21"/>
      <c r="C41" s="21"/>
      <c r="D41" s="21"/>
    </row>
    <row r="42" spans="1:19" ht="20.399999999999999" x14ac:dyDescent="0.35">
      <c r="A42" s="20"/>
      <c r="B42" s="21"/>
      <c r="C42" s="21"/>
      <c r="D42" s="21"/>
    </row>
    <row r="43" spans="1:19" ht="20.399999999999999" x14ac:dyDescent="0.35">
      <c r="A43" s="20"/>
      <c r="B43" s="21"/>
      <c r="C43" s="21"/>
      <c r="D43" s="21"/>
    </row>
    <row r="44" spans="1:19" ht="20.399999999999999" x14ac:dyDescent="0.35">
      <c r="A44" s="20"/>
      <c r="B44" s="21"/>
      <c r="C44" s="21"/>
      <c r="D44" s="21"/>
    </row>
    <row r="45" spans="1:19" ht="20.399999999999999" x14ac:dyDescent="0.35">
      <c r="A45" s="20"/>
      <c r="B45" s="21"/>
      <c r="C45" s="21"/>
      <c r="D45" s="21"/>
    </row>
    <row r="46" spans="1:19" ht="20.399999999999999" x14ac:dyDescent="0.35">
      <c r="A46" s="20"/>
      <c r="B46" s="21"/>
      <c r="C46" s="21"/>
      <c r="D46" s="21"/>
    </row>
  </sheetData>
  <autoFilter ref="A1:S38" xr:uid="{2B55C710-9BDF-4992-9B46-B422DD9CF9AC}"/>
  <sortState xmlns:xlrd2="http://schemas.microsoft.com/office/spreadsheetml/2017/richdata2" ref="H1:H46">
    <sortCondition ref="H1:H46"/>
  </sortState>
  <mergeCells count="1">
    <mergeCell ref="C29:I29"/>
  </mergeCells>
  <pageMargins left="0.7" right="0" top="0.75" bottom="0.75" header="0.3" footer="0.3"/>
  <pageSetup paperSize="8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59D5-C6C7-46EB-8A2D-E0680E076DC6}">
  <sheetPr codeName="Sheet2"/>
  <dimension ref="A1:P56"/>
  <sheetViews>
    <sheetView topLeftCell="F1" zoomScale="50" zoomScaleNormal="50" workbookViewId="0">
      <selection activeCell="O18" sqref="O18"/>
    </sheetView>
  </sheetViews>
  <sheetFormatPr defaultRowHeight="25.8" x14ac:dyDescent="0.5"/>
  <cols>
    <col min="1" max="1" width="45.109375" style="69" customWidth="1"/>
    <col min="2" max="10" width="49.5546875" customWidth="1"/>
    <col min="11" max="13" width="43.88671875" customWidth="1"/>
    <col min="14" max="15" width="66.33203125" customWidth="1"/>
    <col min="16" max="16" width="19.77734375" customWidth="1"/>
  </cols>
  <sheetData>
    <row r="1" spans="1:16" ht="24.6" x14ac:dyDescent="0.4">
      <c r="A1" s="63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>
        <v>46268</v>
      </c>
      <c r="L1" s="3">
        <v>46275</v>
      </c>
      <c r="M1" s="3">
        <v>46282</v>
      </c>
      <c r="N1" s="3">
        <v>46289</v>
      </c>
      <c r="O1" s="3">
        <v>46295</v>
      </c>
      <c r="P1" s="3"/>
    </row>
    <row r="2" spans="1:16" ht="24.6" x14ac:dyDescent="0.3">
      <c r="A2" s="64" t="s">
        <v>25</v>
      </c>
      <c r="B2" s="5"/>
      <c r="C2" s="5"/>
      <c r="D2" s="4" t="s">
        <v>49</v>
      </c>
      <c r="E2" s="5" t="s">
        <v>46</v>
      </c>
      <c r="F2" s="5" t="s">
        <v>17</v>
      </c>
      <c r="G2" s="5"/>
      <c r="H2" s="5"/>
      <c r="I2" s="5"/>
      <c r="J2" s="5"/>
      <c r="K2" s="74"/>
      <c r="L2" s="5" t="s">
        <v>17</v>
      </c>
      <c r="M2" s="5"/>
      <c r="N2" s="5"/>
      <c r="O2" s="5" t="s">
        <v>50</v>
      </c>
      <c r="P2" s="18"/>
    </row>
    <row r="3" spans="1:16" ht="24.6" x14ac:dyDescent="0.3">
      <c r="A3" s="65" t="s">
        <v>5</v>
      </c>
      <c r="B3" s="5"/>
      <c r="C3" s="5"/>
      <c r="D3" s="5"/>
      <c r="E3" s="5"/>
      <c r="F3" s="5"/>
      <c r="G3" s="5"/>
      <c r="H3" s="5"/>
      <c r="I3" s="5" t="s">
        <v>50</v>
      </c>
      <c r="J3" s="5"/>
      <c r="K3" s="74"/>
      <c r="L3" s="74"/>
      <c r="M3" s="5" t="s">
        <v>17</v>
      </c>
      <c r="N3" s="5"/>
      <c r="O3" s="5"/>
      <c r="P3" s="13"/>
    </row>
    <row r="4" spans="1:16" ht="24.6" x14ac:dyDescent="0.3">
      <c r="A4" s="65" t="s">
        <v>20</v>
      </c>
      <c r="B4" s="5"/>
      <c r="C4" s="5" t="s">
        <v>47</v>
      </c>
      <c r="D4" s="5" t="s">
        <v>18</v>
      </c>
      <c r="E4" s="5" t="s">
        <v>45</v>
      </c>
      <c r="F4" s="4" t="s">
        <v>44</v>
      </c>
      <c r="G4" s="4"/>
      <c r="H4" s="4"/>
      <c r="I4" s="4" t="s">
        <v>49</v>
      </c>
      <c r="J4" s="4" t="s">
        <v>48</v>
      </c>
      <c r="K4" s="74"/>
      <c r="L4" s="4" t="s">
        <v>49</v>
      </c>
      <c r="M4" s="4"/>
      <c r="N4" s="4" t="s">
        <v>48</v>
      </c>
      <c r="O4" s="4" t="s">
        <v>48</v>
      </c>
      <c r="P4" s="7"/>
    </row>
    <row r="5" spans="1:16" ht="24.6" x14ac:dyDescent="0.3">
      <c r="A5" s="65" t="s">
        <v>26</v>
      </c>
      <c r="B5" s="5"/>
      <c r="C5" s="5"/>
      <c r="D5" s="5"/>
      <c r="E5" s="5"/>
      <c r="F5" s="5"/>
      <c r="G5" s="5"/>
      <c r="H5" s="5"/>
      <c r="I5" s="5"/>
      <c r="J5" s="5"/>
      <c r="K5" s="74"/>
      <c r="L5" s="74"/>
      <c r="M5" s="74"/>
      <c r="N5" s="74"/>
      <c r="O5" s="74"/>
      <c r="P5" s="13"/>
    </row>
    <row r="6" spans="1:16" ht="24.6" x14ac:dyDescent="0.3">
      <c r="A6" s="64" t="s">
        <v>27</v>
      </c>
      <c r="B6" s="5"/>
      <c r="C6" s="5"/>
      <c r="D6" s="5"/>
      <c r="E6" s="5"/>
      <c r="F6" s="5"/>
      <c r="G6" s="5"/>
      <c r="H6" s="5"/>
      <c r="I6" s="5"/>
      <c r="J6" s="5"/>
      <c r="K6" s="74"/>
      <c r="L6" s="74"/>
      <c r="M6" s="74"/>
      <c r="N6" s="74"/>
      <c r="O6" s="74"/>
      <c r="P6" s="11"/>
    </row>
    <row r="7" spans="1:16" ht="24.6" x14ac:dyDescent="0.3">
      <c r="A7" s="66" t="s">
        <v>1</v>
      </c>
      <c r="B7" s="5" t="s">
        <v>43</v>
      </c>
      <c r="C7" s="5"/>
      <c r="D7" s="5"/>
      <c r="E7" s="5"/>
      <c r="F7" s="5"/>
      <c r="G7" s="5"/>
      <c r="H7" s="4" t="s">
        <v>49</v>
      </c>
      <c r="I7" s="4"/>
      <c r="J7" s="5" t="s">
        <v>18</v>
      </c>
      <c r="K7" s="74" t="s">
        <v>76</v>
      </c>
      <c r="L7" s="74"/>
      <c r="M7" s="74"/>
      <c r="N7" s="74"/>
      <c r="O7" s="5" t="s">
        <v>47</v>
      </c>
      <c r="P7" s="14"/>
    </row>
    <row r="8" spans="1:16" ht="24.6" x14ac:dyDescent="0.3">
      <c r="A8" s="66" t="s">
        <v>22</v>
      </c>
      <c r="B8" s="4"/>
      <c r="C8" s="4"/>
      <c r="D8" s="4"/>
      <c r="E8" s="4"/>
      <c r="F8" s="4"/>
      <c r="G8" s="4"/>
      <c r="H8" s="4"/>
      <c r="I8" s="4"/>
      <c r="J8" s="4"/>
      <c r="K8" s="74"/>
      <c r="L8" s="74"/>
      <c r="M8" s="74"/>
      <c r="N8" s="74"/>
      <c r="O8" s="74"/>
      <c r="P8" s="17"/>
    </row>
    <row r="9" spans="1:16" ht="20.399999999999999" customHeight="1" x14ac:dyDescent="0.3">
      <c r="A9" s="65" t="s">
        <v>2</v>
      </c>
      <c r="B9" s="4"/>
      <c r="C9" s="4" t="s">
        <v>48</v>
      </c>
      <c r="D9" s="4" t="s">
        <v>48</v>
      </c>
      <c r="E9" s="4" t="s">
        <v>48</v>
      </c>
      <c r="F9" s="5" t="s">
        <v>45</v>
      </c>
      <c r="G9" s="5"/>
      <c r="H9" s="4" t="s">
        <v>48</v>
      </c>
      <c r="I9" s="4" t="s">
        <v>48</v>
      </c>
      <c r="J9" s="5" t="s">
        <v>47</v>
      </c>
      <c r="K9" s="5" t="s">
        <v>17</v>
      </c>
      <c r="L9" s="5" t="s">
        <v>18</v>
      </c>
      <c r="M9" s="4" t="s">
        <v>48</v>
      </c>
      <c r="N9" s="5" t="s">
        <v>45</v>
      </c>
      <c r="O9" s="4" t="s">
        <v>48</v>
      </c>
      <c r="P9" s="16"/>
    </row>
    <row r="10" spans="1:16" ht="24.6" x14ac:dyDescent="0.3">
      <c r="A10" s="65" t="s">
        <v>28</v>
      </c>
      <c r="B10" s="5" t="s">
        <v>44</v>
      </c>
      <c r="C10" s="4"/>
      <c r="D10" s="4" t="s">
        <v>44</v>
      </c>
      <c r="E10" s="4" t="s">
        <v>48</v>
      </c>
      <c r="F10" s="4"/>
      <c r="G10" s="4"/>
      <c r="H10" s="4" t="s">
        <v>44</v>
      </c>
      <c r="I10" s="4" t="s">
        <v>44</v>
      </c>
      <c r="J10" s="4" t="s">
        <v>48</v>
      </c>
      <c r="K10" s="74" t="s">
        <v>46</v>
      </c>
      <c r="L10" s="74"/>
      <c r="M10" s="74"/>
      <c r="N10" s="74"/>
      <c r="O10" s="4" t="s">
        <v>48</v>
      </c>
      <c r="P10" s="10"/>
    </row>
    <row r="11" spans="1:16" ht="24.6" x14ac:dyDescent="0.3">
      <c r="A11" s="65" t="s">
        <v>15</v>
      </c>
      <c r="C11" s="4" t="s">
        <v>48</v>
      </c>
      <c r="D11" s="4" t="s">
        <v>48</v>
      </c>
      <c r="E11" s="4"/>
      <c r="F11" s="4"/>
      <c r="G11" s="4"/>
      <c r="H11" s="4"/>
      <c r="I11" s="4"/>
      <c r="J11" s="4"/>
      <c r="K11" s="74"/>
      <c r="L11" s="74"/>
      <c r="M11" s="74"/>
      <c r="N11" s="74"/>
      <c r="O11" s="4" t="s">
        <v>48</v>
      </c>
      <c r="P11" s="6"/>
    </row>
    <row r="12" spans="1:16" ht="24.6" x14ac:dyDescent="0.3">
      <c r="A12" s="66" t="s">
        <v>29</v>
      </c>
      <c r="B12" s="4"/>
      <c r="C12" s="4"/>
      <c r="D12" s="5" t="s">
        <v>50</v>
      </c>
      <c r="E12" s="5" t="s">
        <v>18</v>
      </c>
      <c r="F12" s="5"/>
      <c r="G12" s="5" t="s">
        <v>17</v>
      </c>
      <c r="H12" s="5" t="s">
        <v>50</v>
      </c>
      <c r="I12" s="5"/>
      <c r="J12" s="5"/>
      <c r="K12" s="5" t="s">
        <v>17</v>
      </c>
      <c r="L12" s="4" t="s">
        <v>44</v>
      </c>
      <c r="M12" s="74" t="s">
        <v>46</v>
      </c>
      <c r="N12" s="74"/>
      <c r="O12" s="5" t="s">
        <v>17</v>
      </c>
      <c r="P12" s="16"/>
    </row>
    <row r="13" spans="1:16" ht="24.6" x14ac:dyDescent="0.3">
      <c r="A13" s="64" t="s">
        <v>30</v>
      </c>
      <c r="B13" s="5"/>
      <c r="C13" s="4" t="s">
        <v>49</v>
      </c>
      <c r="D13" s="4" t="s">
        <v>49</v>
      </c>
      <c r="F13" s="5" t="s">
        <v>47</v>
      </c>
      <c r="G13" s="5"/>
      <c r="H13" s="5"/>
      <c r="I13" s="5" t="s">
        <v>47</v>
      </c>
      <c r="J13" s="4" t="s">
        <v>44</v>
      </c>
      <c r="K13" s="74"/>
      <c r="L13" s="4" t="s">
        <v>49</v>
      </c>
      <c r="M13" s="4" t="s">
        <v>49</v>
      </c>
      <c r="N13" s="4"/>
      <c r="O13" s="4"/>
      <c r="P13" s="6"/>
    </row>
    <row r="14" spans="1:16" ht="34.200000000000003" customHeight="1" x14ac:dyDescent="0.3">
      <c r="A14" s="64" t="s">
        <v>31</v>
      </c>
      <c r="B14" s="4"/>
      <c r="C14" s="4"/>
      <c r="D14" s="5" t="s">
        <v>46</v>
      </c>
      <c r="E14" s="4" t="s">
        <v>49</v>
      </c>
      <c r="F14" s="5" t="s">
        <v>50</v>
      </c>
      <c r="G14" s="5"/>
      <c r="H14" s="5"/>
      <c r="I14" s="5"/>
      <c r="J14" s="5"/>
      <c r="K14" s="74"/>
      <c r="L14" s="74"/>
      <c r="M14" s="74"/>
      <c r="N14" s="74"/>
      <c r="O14" s="74"/>
      <c r="P14" s="10"/>
    </row>
    <row r="15" spans="1:16" ht="24.6" x14ac:dyDescent="0.3">
      <c r="A15" s="66" t="s">
        <v>6</v>
      </c>
      <c r="B15" s="4"/>
      <c r="C15" s="4" t="s">
        <v>48</v>
      </c>
      <c r="D15" s="4"/>
      <c r="E15" s="4"/>
      <c r="F15" s="4"/>
      <c r="G15" s="4"/>
      <c r="H15" s="4"/>
      <c r="I15" s="4"/>
      <c r="J15" s="4" t="s">
        <v>48</v>
      </c>
      <c r="K15" s="74" t="s">
        <v>46</v>
      </c>
      <c r="L15" s="74"/>
      <c r="M15" s="4" t="s">
        <v>49</v>
      </c>
      <c r="N15" s="4" t="s">
        <v>49</v>
      </c>
      <c r="O15" s="4" t="s">
        <v>49</v>
      </c>
      <c r="P15" s="15"/>
    </row>
    <row r="16" spans="1:16" ht="27.6" customHeight="1" x14ac:dyDescent="0.3">
      <c r="A16" s="65" t="s">
        <v>7</v>
      </c>
      <c r="B16" s="5" t="s">
        <v>18</v>
      </c>
      <c r="C16" s="5" t="s">
        <v>45</v>
      </c>
      <c r="D16" s="4" t="s">
        <v>49</v>
      </c>
      <c r="E16" s="4"/>
      <c r="F16" s="4"/>
      <c r="G16" s="4"/>
      <c r="H16" s="4"/>
      <c r="I16" s="4"/>
      <c r="J16" s="4"/>
      <c r="K16" s="74"/>
      <c r="L16" s="74"/>
      <c r="M16" s="74"/>
      <c r="N16" s="74"/>
      <c r="O16" s="74"/>
      <c r="P16" s="6"/>
    </row>
    <row r="17" spans="1:16" ht="24.6" x14ac:dyDescent="0.3">
      <c r="A17" s="65" t="s">
        <v>32</v>
      </c>
      <c r="B17" s="4"/>
      <c r="C17" s="4"/>
      <c r="D17" s="5" t="s">
        <v>47</v>
      </c>
      <c r="E17" s="5"/>
      <c r="F17" s="5"/>
      <c r="G17" s="5"/>
      <c r="H17" s="5"/>
      <c r="I17" s="5"/>
      <c r="J17" s="5"/>
      <c r="K17" s="74"/>
      <c r="L17" s="74"/>
      <c r="M17" s="74"/>
      <c r="N17" s="74"/>
      <c r="O17" s="74"/>
      <c r="P17" s="15"/>
    </row>
    <row r="18" spans="1:16" ht="24.6" x14ac:dyDescent="0.3">
      <c r="A18" s="67" t="s">
        <v>8</v>
      </c>
      <c r="B18" s="9"/>
      <c r="C18" s="9"/>
      <c r="D18" s="9"/>
      <c r="E18" s="9"/>
      <c r="F18" s="9"/>
      <c r="G18" s="9"/>
      <c r="H18" s="9"/>
      <c r="I18" s="9"/>
      <c r="J18" s="5" t="s">
        <v>46</v>
      </c>
      <c r="K18" s="74"/>
      <c r="L18" s="74"/>
      <c r="M18" s="74"/>
      <c r="N18" s="5" t="s">
        <v>17</v>
      </c>
      <c r="O18" s="5"/>
      <c r="P18" s="16"/>
    </row>
    <row r="19" spans="1:16" ht="18.600000000000001" customHeight="1" x14ac:dyDescent="0.3">
      <c r="A19" s="65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74"/>
      <c r="L19" s="4" t="s">
        <v>49</v>
      </c>
      <c r="M19" s="4"/>
      <c r="N19" s="5" t="s">
        <v>47</v>
      </c>
      <c r="O19" s="5"/>
      <c r="P19" s="6"/>
    </row>
    <row r="20" spans="1:16" ht="16.8" customHeight="1" x14ac:dyDescent="0.3">
      <c r="A20" s="65" t="s">
        <v>9</v>
      </c>
      <c r="B20" s="4"/>
      <c r="C20" s="4"/>
      <c r="D20" s="4"/>
      <c r="E20" s="4"/>
      <c r="F20" s="4"/>
      <c r="G20" s="4"/>
      <c r="H20" s="4"/>
      <c r="I20" s="4"/>
      <c r="J20" s="4"/>
      <c r="K20" s="74"/>
      <c r="L20" s="74"/>
      <c r="M20" s="74"/>
      <c r="N20" s="74"/>
      <c r="O20" s="74"/>
      <c r="P20" s="17"/>
    </row>
    <row r="21" spans="1:16" ht="24.6" x14ac:dyDescent="0.3">
      <c r="A21" s="64" t="s">
        <v>34</v>
      </c>
      <c r="B21" s="5"/>
      <c r="C21" s="5" t="s">
        <v>50</v>
      </c>
      <c r="D21" s="5"/>
      <c r="E21" s="4" t="s">
        <v>49</v>
      </c>
      <c r="F21" s="4" t="s">
        <v>49</v>
      </c>
      <c r="G21" s="4"/>
      <c r="H21" s="4"/>
      <c r="I21" s="4" t="s">
        <v>49</v>
      </c>
      <c r="J21" s="4"/>
      <c r="K21" s="74"/>
      <c r="L21" s="5" t="s">
        <v>50</v>
      </c>
      <c r="M21" s="4" t="s">
        <v>49</v>
      </c>
      <c r="N21" s="4" t="s">
        <v>49</v>
      </c>
      <c r="O21" s="4" t="s">
        <v>49</v>
      </c>
      <c r="P21" s="12"/>
    </row>
    <row r="22" spans="1:16" ht="24.6" x14ac:dyDescent="0.3">
      <c r="A22" s="65" t="s">
        <v>3</v>
      </c>
      <c r="B22" s="5"/>
      <c r="C22" s="5" t="s">
        <v>44</v>
      </c>
      <c r="D22" s="5"/>
      <c r="E22" s="4" t="s">
        <v>49</v>
      </c>
      <c r="F22" s="4"/>
      <c r="G22" s="4"/>
      <c r="H22" s="4"/>
      <c r="I22" s="4"/>
      <c r="J22" s="4"/>
      <c r="K22" s="74" t="s">
        <v>74</v>
      </c>
      <c r="L22" s="4" t="s">
        <v>48</v>
      </c>
      <c r="M22" s="5" t="s">
        <v>45</v>
      </c>
      <c r="N22" s="4" t="s">
        <v>48</v>
      </c>
      <c r="O22" s="4" t="s">
        <v>49</v>
      </c>
      <c r="P22" s="17"/>
    </row>
    <row r="23" spans="1:16" ht="42.6" customHeight="1" x14ac:dyDescent="0.3">
      <c r="A23" s="66" t="s">
        <v>35</v>
      </c>
      <c r="B23" s="4"/>
      <c r="C23" s="4"/>
      <c r="D23" s="4"/>
      <c r="E23" s="4"/>
      <c r="F23" s="4"/>
      <c r="G23" s="4"/>
      <c r="H23" s="4"/>
      <c r="I23" s="4"/>
      <c r="J23" s="4"/>
      <c r="K23" s="74"/>
      <c r="L23" s="74"/>
      <c r="M23" s="74"/>
      <c r="N23" s="74"/>
      <c r="O23" s="74"/>
      <c r="P23" s="15"/>
    </row>
    <row r="24" spans="1:16" ht="21" customHeight="1" x14ac:dyDescent="0.3">
      <c r="A24" s="66" t="s">
        <v>16</v>
      </c>
      <c r="B24" s="4"/>
      <c r="C24" s="4" t="s">
        <v>49</v>
      </c>
      <c r="D24" s="4" t="s">
        <v>48</v>
      </c>
      <c r="E24" s="5" t="s">
        <v>47</v>
      </c>
      <c r="F24" s="4" t="s">
        <v>48</v>
      </c>
      <c r="G24" s="4"/>
      <c r="H24" s="4"/>
      <c r="I24" s="4" t="s">
        <v>48</v>
      </c>
      <c r="J24" s="4"/>
      <c r="K24" s="74"/>
      <c r="L24" s="74"/>
      <c r="O24" s="4" t="s">
        <v>49</v>
      </c>
      <c r="P24" s="12"/>
    </row>
    <row r="25" spans="1:16" ht="24.6" x14ac:dyDescent="0.3">
      <c r="A25" s="66" t="s">
        <v>10</v>
      </c>
      <c r="B25" s="4"/>
      <c r="C25" s="5" t="s">
        <v>17</v>
      </c>
      <c r="D25" s="5"/>
      <c r="E25" s="4" t="s">
        <v>48</v>
      </c>
      <c r="F25" s="4"/>
      <c r="G25" s="4"/>
      <c r="H25" s="4" t="s">
        <v>48</v>
      </c>
      <c r="I25" s="5" t="s">
        <v>18</v>
      </c>
      <c r="J25" s="5"/>
      <c r="K25" s="74"/>
      <c r="L25" s="4" t="s">
        <v>48</v>
      </c>
      <c r="M25" s="4"/>
      <c r="N25" s="4" t="s">
        <v>48</v>
      </c>
      <c r="O25" s="5" t="s">
        <v>45</v>
      </c>
      <c r="P25" s="12"/>
    </row>
    <row r="26" spans="1:16" ht="24.6" x14ac:dyDescent="0.3">
      <c r="A26" s="64" t="s">
        <v>36</v>
      </c>
      <c r="B26" s="4"/>
      <c r="C26" s="4"/>
      <c r="D26" s="4"/>
      <c r="E26" s="4"/>
      <c r="F26" s="4"/>
      <c r="G26" s="4"/>
      <c r="H26" s="4"/>
      <c r="I26" s="4"/>
      <c r="J26" s="4"/>
      <c r="K26" s="74"/>
      <c r="L26" s="74"/>
      <c r="M26" s="74"/>
      <c r="N26" s="74"/>
      <c r="O26" s="74"/>
      <c r="P26" s="12"/>
    </row>
    <row r="27" spans="1:16" ht="24.6" x14ac:dyDescent="0.3">
      <c r="A27" s="65" t="s">
        <v>21</v>
      </c>
      <c r="B27" s="4"/>
      <c r="C27" s="4"/>
      <c r="D27" s="4"/>
      <c r="E27" s="4"/>
      <c r="F27" s="4" t="s">
        <v>49</v>
      </c>
      <c r="G27" s="4"/>
      <c r="H27" s="4"/>
      <c r="I27" s="4"/>
      <c r="J27" s="5" t="s">
        <v>50</v>
      </c>
      <c r="K27" s="74"/>
      <c r="L27" s="74"/>
      <c r="M27" s="74"/>
      <c r="N27" s="74"/>
      <c r="O27" s="74"/>
      <c r="P27" s="16"/>
    </row>
    <row r="28" spans="1:16" ht="24.6" x14ac:dyDescent="0.3">
      <c r="A28" s="65" t="s">
        <v>37</v>
      </c>
      <c r="B28" s="4"/>
      <c r="C28" s="4"/>
      <c r="D28" s="4"/>
      <c r="E28" s="4"/>
      <c r="F28" s="4"/>
      <c r="G28" s="4"/>
      <c r="H28" s="4"/>
      <c r="I28" s="4"/>
      <c r="J28" s="4" t="s">
        <v>49</v>
      </c>
      <c r="K28" s="74"/>
      <c r="L28" s="74"/>
      <c r="M28" s="74"/>
      <c r="N28" s="74"/>
      <c r="O28" s="74"/>
      <c r="P28" s="15"/>
    </row>
    <row r="29" spans="1:16" ht="24.6" x14ac:dyDescent="0.3">
      <c r="A29" s="66" t="s">
        <v>11</v>
      </c>
      <c r="B29" s="4"/>
      <c r="C29" s="4"/>
      <c r="D29" s="4"/>
      <c r="E29" s="4"/>
      <c r="G29" s="5"/>
      <c r="H29" s="5"/>
      <c r="I29" s="5"/>
      <c r="J29" s="5"/>
      <c r="K29" s="75"/>
      <c r="L29" s="5" t="s">
        <v>45</v>
      </c>
      <c r="M29" s="4" t="s">
        <v>44</v>
      </c>
      <c r="N29" s="4"/>
      <c r="O29" s="4"/>
      <c r="P29" s="15"/>
    </row>
    <row r="30" spans="1:16" ht="24.6" x14ac:dyDescent="0.3">
      <c r="A30" s="65" t="s">
        <v>38</v>
      </c>
      <c r="B30" s="4"/>
      <c r="C30" s="4"/>
      <c r="D30" s="4"/>
      <c r="E30" s="4"/>
      <c r="F30" s="4"/>
      <c r="G30" s="4"/>
      <c r="H30" s="4"/>
      <c r="I30" s="4"/>
      <c r="J30" s="4"/>
      <c r="K30" s="74"/>
      <c r="L30" s="74"/>
      <c r="M30" s="5" t="s">
        <v>47</v>
      </c>
      <c r="N30" s="5"/>
      <c r="O30" s="5"/>
      <c r="P30" s="17"/>
    </row>
    <row r="31" spans="1:16" ht="24.6" x14ac:dyDescent="0.3">
      <c r="A31" s="66" t="s">
        <v>39</v>
      </c>
      <c r="B31" s="5"/>
      <c r="C31" s="5" t="s">
        <v>18</v>
      </c>
      <c r="D31" s="4" t="s">
        <v>48</v>
      </c>
      <c r="E31" s="5" t="s">
        <v>50</v>
      </c>
      <c r="F31" s="5" t="s">
        <v>18</v>
      </c>
      <c r="G31" s="5"/>
      <c r="H31" s="4" t="s">
        <v>49</v>
      </c>
      <c r="I31" s="5" t="s">
        <v>45</v>
      </c>
      <c r="J31" s="5" t="s">
        <v>17</v>
      </c>
      <c r="K31" s="74"/>
      <c r="L31" s="74"/>
      <c r="M31" s="74"/>
      <c r="N31" s="4" t="s">
        <v>49</v>
      </c>
      <c r="O31" s="5" t="s">
        <v>18</v>
      </c>
      <c r="P31" s="16"/>
    </row>
    <row r="32" spans="1:16" ht="49.2" x14ac:dyDescent="0.3">
      <c r="A32" s="64" t="s">
        <v>40</v>
      </c>
      <c r="B32" s="4"/>
      <c r="C32" s="4"/>
      <c r="D32" s="4"/>
      <c r="E32" s="4"/>
      <c r="F32" s="5" t="s">
        <v>46</v>
      </c>
      <c r="G32" s="5"/>
      <c r="H32" s="5"/>
      <c r="I32" s="5"/>
      <c r="J32" s="5"/>
      <c r="K32" s="74"/>
      <c r="L32" s="74"/>
      <c r="M32" s="74"/>
      <c r="N32" s="74" t="s">
        <v>46</v>
      </c>
      <c r="O32" s="74"/>
      <c r="P32" s="6"/>
    </row>
    <row r="33" spans="1:16" ht="24.6" x14ac:dyDescent="0.3">
      <c r="A33" s="68" t="s">
        <v>41</v>
      </c>
      <c r="B33" s="4"/>
      <c r="C33" s="4"/>
      <c r="D33" s="4"/>
      <c r="E33" s="4" t="s">
        <v>44</v>
      </c>
      <c r="F33" s="4"/>
      <c r="G33" s="4"/>
      <c r="H33" s="4"/>
      <c r="I33" s="5" t="s">
        <v>46</v>
      </c>
      <c r="J33" s="4" t="s">
        <v>49</v>
      </c>
      <c r="K33" s="74"/>
      <c r="L33" s="5" t="s">
        <v>47</v>
      </c>
      <c r="M33" s="5"/>
      <c r="N33" s="5" t="s">
        <v>50</v>
      </c>
      <c r="O33" s="5"/>
      <c r="P33" s="17"/>
    </row>
    <row r="34" spans="1:16" ht="24.6" x14ac:dyDescent="0.3">
      <c r="A34" s="65" t="s">
        <v>12</v>
      </c>
      <c r="B34" s="8"/>
      <c r="C34" s="4" t="s">
        <v>49</v>
      </c>
      <c r="D34" s="5" t="s">
        <v>45</v>
      </c>
      <c r="E34" s="5"/>
      <c r="F34" s="5"/>
      <c r="G34" s="5"/>
      <c r="H34" s="5" t="s">
        <v>45</v>
      </c>
      <c r="I34" s="4" t="s">
        <v>49</v>
      </c>
      <c r="J34" s="5" t="s">
        <v>45</v>
      </c>
      <c r="K34" s="74"/>
      <c r="L34" s="74"/>
      <c r="M34" s="4" t="s">
        <v>48</v>
      </c>
      <c r="N34" s="5" t="s">
        <v>18</v>
      </c>
      <c r="O34" s="4" t="s">
        <v>48</v>
      </c>
      <c r="P34" s="10"/>
    </row>
    <row r="35" spans="1:16" ht="24.6" x14ac:dyDescent="0.3">
      <c r="A35" s="66" t="s">
        <v>4</v>
      </c>
      <c r="B35" s="8"/>
      <c r="C35" s="8"/>
      <c r="D35" s="4" t="s">
        <v>49</v>
      </c>
      <c r="E35" s="5" t="s">
        <v>17</v>
      </c>
      <c r="F35" s="4" t="s">
        <v>48</v>
      </c>
      <c r="G35" s="4"/>
      <c r="H35" s="4"/>
      <c r="I35" s="4" t="s">
        <v>48</v>
      </c>
      <c r="J35" s="4"/>
      <c r="K35" s="74" t="s">
        <v>75</v>
      </c>
      <c r="L35" s="74"/>
      <c r="M35" s="5" t="s">
        <v>18</v>
      </c>
      <c r="N35" s="4" t="s">
        <v>83</v>
      </c>
      <c r="O35" s="4" t="s">
        <v>49</v>
      </c>
      <c r="P35" s="10"/>
    </row>
    <row r="36" spans="1:16" ht="24.6" x14ac:dyDescent="0.3">
      <c r="A36" s="66" t="s">
        <v>13</v>
      </c>
      <c r="B36" s="5" t="s">
        <v>17</v>
      </c>
      <c r="C36" s="8"/>
      <c r="D36" s="8"/>
      <c r="E36" s="8"/>
      <c r="F36" s="8"/>
      <c r="G36" s="8"/>
      <c r="H36" s="8"/>
      <c r="I36" s="8"/>
      <c r="J36" s="8"/>
      <c r="K36" s="74"/>
      <c r="L36" s="74" t="s">
        <v>46</v>
      </c>
      <c r="M36" s="4" t="s">
        <v>48</v>
      </c>
      <c r="N36" s="4" t="s">
        <v>48</v>
      </c>
      <c r="O36" s="4"/>
      <c r="P36" s="7"/>
    </row>
    <row r="37" spans="1:16" ht="24.6" x14ac:dyDescent="0.3">
      <c r="A37" s="66" t="s">
        <v>14</v>
      </c>
      <c r="B37" s="5"/>
      <c r="C37" s="8"/>
      <c r="D37" s="8"/>
      <c r="E37" s="8"/>
      <c r="F37" s="8"/>
      <c r="G37" s="8"/>
      <c r="H37" s="8"/>
      <c r="I37" s="8"/>
      <c r="J37" s="8"/>
      <c r="K37" s="74"/>
      <c r="L37" s="74"/>
      <c r="M37" s="74"/>
      <c r="N37" s="74"/>
      <c r="O37" s="74"/>
      <c r="P37" s="13"/>
    </row>
    <row r="38" spans="1:16" ht="24.6" x14ac:dyDescent="0.3">
      <c r="A38" s="66" t="s">
        <v>42</v>
      </c>
      <c r="B38" s="5"/>
      <c r="C38" s="5" t="s">
        <v>46</v>
      </c>
      <c r="D38" s="5" t="s">
        <v>17</v>
      </c>
      <c r="E38" s="5"/>
      <c r="F38" s="5"/>
      <c r="G38" s="5"/>
      <c r="H38" s="5" t="s">
        <v>17</v>
      </c>
      <c r="I38" s="5" t="s">
        <v>17</v>
      </c>
      <c r="J38" s="4" t="s">
        <v>49</v>
      </c>
      <c r="K38" s="74"/>
      <c r="L38" s="4" t="s">
        <v>48</v>
      </c>
      <c r="M38" s="5" t="s">
        <v>50</v>
      </c>
      <c r="N38" s="5"/>
      <c r="O38" s="74" t="s">
        <v>46</v>
      </c>
      <c r="P38" s="11"/>
    </row>
    <row r="39" spans="1:16" x14ac:dyDescent="0.5">
      <c r="B39" s="19"/>
      <c r="C39" s="19"/>
      <c r="D39" s="19"/>
      <c r="E39" s="19"/>
      <c r="F39" s="19"/>
      <c r="G39" s="19"/>
      <c r="H39" s="19"/>
      <c r="I39" s="19"/>
      <c r="J39" s="19"/>
    </row>
    <row r="40" spans="1:16" ht="24.6" x14ac:dyDescent="0.4">
      <c r="A40" s="70"/>
      <c r="B40" s="20"/>
      <c r="C40" s="20"/>
      <c r="D40" s="20"/>
      <c r="E40" s="20"/>
      <c r="F40" s="20"/>
      <c r="G40" s="20"/>
      <c r="H40" s="20"/>
      <c r="I40" s="20"/>
      <c r="J40" s="20"/>
    </row>
    <row r="41" spans="1:16" ht="24.6" x14ac:dyDescent="0.4">
      <c r="A41" s="70"/>
      <c r="B41" s="21"/>
      <c r="C41" s="21"/>
      <c r="D41" s="21"/>
      <c r="E41" s="21"/>
      <c r="F41" s="21"/>
      <c r="G41" s="21"/>
      <c r="H41" s="21"/>
      <c r="I41" s="21"/>
      <c r="J41" s="21"/>
    </row>
    <row r="42" spans="1:16" ht="24.6" x14ac:dyDescent="0.4">
      <c r="A42" s="70"/>
      <c r="B42" s="21"/>
      <c r="C42" s="21"/>
      <c r="D42" s="21"/>
      <c r="E42" s="21"/>
      <c r="F42" s="21"/>
      <c r="G42" s="21"/>
      <c r="H42" s="21"/>
      <c r="I42" s="21"/>
      <c r="J42" s="21"/>
    </row>
    <row r="43" spans="1:16" ht="24.6" x14ac:dyDescent="0.4">
      <c r="A43" s="70"/>
      <c r="B43" s="21"/>
      <c r="C43" s="21"/>
      <c r="D43" s="21"/>
      <c r="E43" s="21"/>
      <c r="F43" s="21"/>
      <c r="G43" s="21"/>
      <c r="H43" s="21"/>
      <c r="I43" s="21"/>
      <c r="J43" s="21"/>
    </row>
    <row r="44" spans="1:16" ht="24.6" x14ac:dyDescent="0.4">
      <c r="A44" s="70"/>
      <c r="B44" s="21"/>
      <c r="C44" s="21"/>
      <c r="D44" s="21"/>
      <c r="E44" s="21"/>
      <c r="F44" s="21"/>
      <c r="G44" s="21"/>
      <c r="H44" s="21"/>
      <c r="I44" s="21"/>
      <c r="J44" s="21"/>
    </row>
    <row r="45" spans="1:16" x14ac:dyDescent="0.5">
      <c r="B45" s="21"/>
      <c r="C45" s="21"/>
      <c r="D45" s="21"/>
      <c r="E45" s="21"/>
      <c r="F45" s="21"/>
      <c r="G45" s="21"/>
      <c r="H45" s="21"/>
      <c r="I45" s="21"/>
      <c r="J45" s="21"/>
    </row>
    <row r="46" spans="1:16" x14ac:dyDescent="0.5">
      <c r="B46" s="21"/>
      <c r="C46" s="21"/>
      <c r="D46" s="21"/>
      <c r="E46" s="21"/>
      <c r="F46" s="21"/>
      <c r="G46" s="21"/>
      <c r="H46" s="21"/>
      <c r="I46" s="21"/>
      <c r="J46" s="21"/>
    </row>
    <row r="50" spans="2:10" x14ac:dyDescent="0.5">
      <c r="B50" s="20"/>
      <c r="C50" s="20"/>
      <c r="D50" s="20"/>
      <c r="E50" s="20"/>
      <c r="F50" s="20"/>
      <c r="G50" s="20"/>
      <c r="H50" s="20"/>
      <c r="I50" s="20"/>
      <c r="J50" s="20"/>
    </row>
    <row r="51" spans="2:10" x14ac:dyDescent="0.5">
      <c r="B51" s="21"/>
      <c r="C51" s="21"/>
      <c r="D51" s="21"/>
      <c r="E51" s="21"/>
      <c r="F51" s="21"/>
      <c r="G51" s="21"/>
      <c r="H51" s="21"/>
      <c r="I51" s="21"/>
      <c r="J51" s="21"/>
    </row>
    <row r="52" spans="2:10" x14ac:dyDescent="0.5">
      <c r="B52" s="21"/>
      <c r="C52" s="21"/>
      <c r="D52" s="21"/>
      <c r="E52" s="21"/>
      <c r="F52" s="21"/>
      <c r="G52" s="21"/>
      <c r="H52" s="21"/>
      <c r="I52" s="21"/>
      <c r="J52" s="21"/>
    </row>
    <row r="53" spans="2:10" x14ac:dyDescent="0.5">
      <c r="B53" s="21"/>
      <c r="C53" s="21"/>
      <c r="D53" s="21"/>
      <c r="E53" s="21"/>
      <c r="F53" s="21"/>
      <c r="G53" s="21"/>
      <c r="H53" s="21"/>
      <c r="I53" s="21"/>
      <c r="J53" s="21"/>
    </row>
    <row r="54" spans="2:10" x14ac:dyDescent="0.5">
      <c r="B54" s="21"/>
      <c r="C54" s="21"/>
      <c r="D54" s="21"/>
      <c r="E54" s="21"/>
      <c r="F54" s="21"/>
      <c r="G54" s="21"/>
      <c r="H54" s="21"/>
      <c r="I54" s="21"/>
      <c r="J54" s="21"/>
    </row>
    <row r="55" spans="2:10" x14ac:dyDescent="0.5">
      <c r="B55" s="21"/>
      <c r="C55" s="21"/>
      <c r="D55" s="21"/>
      <c r="E55" s="21"/>
      <c r="F55" s="21"/>
      <c r="G55" s="21"/>
      <c r="H55" s="21"/>
      <c r="I55" s="21"/>
      <c r="J55" s="21"/>
    </row>
    <row r="56" spans="2:10" x14ac:dyDescent="0.5">
      <c r="B56" s="21"/>
      <c r="C56" s="21"/>
      <c r="D56" s="21"/>
      <c r="E56" s="21"/>
      <c r="F56" s="21"/>
      <c r="G56" s="21"/>
      <c r="H56" s="21"/>
      <c r="I56" s="21"/>
      <c r="J56" s="21"/>
    </row>
  </sheetData>
  <autoFilter ref="A1:P38" xr:uid="{3ACD59D5-C6C7-46EB-8A2D-E0680E076DC6}"/>
  <pageMargins left="0.7" right="0.7" top="0.75" bottom="0.75" header="0.3" footer="0.3"/>
  <pageSetup paperSize="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5EA9-3D9B-48CB-9E14-912A05B42854}">
  <sheetPr codeName="Sheet4"/>
  <dimension ref="A1:Z42"/>
  <sheetViews>
    <sheetView topLeftCell="J1" zoomScale="62" zoomScaleNormal="62" workbookViewId="0">
      <selection activeCell="P12" sqref="P12"/>
    </sheetView>
  </sheetViews>
  <sheetFormatPr defaultRowHeight="14.4" x14ac:dyDescent="0.3"/>
  <cols>
    <col min="1" max="1" width="45.109375" style="1" customWidth="1"/>
    <col min="2" max="2" width="59" bestFit="1" customWidth="1"/>
    <col min="3" max="12" width="49.5546875" customWidth="1"/>
    <col min="13" max="13" width="43.88671875" customWidth="1"/>
    <col min="14" max="15" width="66.33203125" customWidth="1"/>
    <col min="16" max="17" width="51.21875" bestFit="1" customWidth="1"/>
    <col min="18" max="18" width="62.33203125" customWidth="1"/>
    <col min="21" max="21" width="22.77734375" customWidth="1"/>
    <col min="22" max="22" width="19.109375" bestFit="1" customWidth="1"/>
    <col min="23" max="23" width="21.88671875" bestFit="1" customWidth="1"/>
    <col min="24" max="24" width="26.109375" bestFit="1" customWidth="1"/>
    <col min="25" max="25" width="22.44140625" customWidth="1"/>
    <col min="26" max="26" width="11.6640625" bestFit="1" customWidth="1"/>
  </cols>
  <sheetData>
    <row r="1" spans="1:26" ht="23.4" x14ac:dyDescent="0.4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>
        <v>46268</v>
      </c>
      <c r="L1" s="3">
        <v>46275</v>
      </c>
      <c r="M1" s="3">
        <v>46282</v>
      </c>
      <c r="N1" s="3">
        <v>46289</v>
      </c>
      <c r="O1" s="3">
        <v>46295</v>
      </c>
      <c r="P1" s="3" t="s">
        <v>54</v>
      </c>
      <c r="Q1" s="3" t="s">
        <v>53</v>
      </c>
      <c r="R1" s="3" t="s">
        <v>23</v>
      </c>
      <c r="U1" s="46"/>
      <c r="V1" s="45"/>
      <c r="W1" s="45"/>
      <c r="X1" s="45"/>
      <c r="Y1" s="45"/>
      <c r="Z1" s="45"/>
    </row>
    <row r="2" spans="1:26" ht="21" x14ac:dyDescent="0.4">
      <c r="A2" s="25" t="s">
        <v>25</v>
      </c>
      <c r="B2" s="5"/>
      <c r="C2" s="5"/>
      <c r="D2" s="5">
        <v>3</v>
      </c>
      <c r="E2" s="5">
        <v>3</v>
      </c>
      <c r="F2" s="5">
        <v>3</v>
      </c>
      <c r="G2" s="5"/>
      <c r="H2" s="5"/>
      <c r="I2" s="5"/>
      <c r="J2" s="5"/>
      <c r="K2" s="5"/>
      <c r="L2" s="5">
        <v>3</v>
      </c>
      <c r="M2" s="5"/>
      <c r="N2" s="5"/>
      <c r="O2" s="5">
        <v>3</v>
      </c>
      <c r="P2" s="36">
        <f>SUM(K2:O2)</f>
        <v>6</v>
      </c>
      <c r="Q2" s="36">
        <f>Attendence!R2 + P2</f>
        <v>32</v>
      </c>
      <c r="R2" s="7"/>
      <c r="U2" s="39"/>
      <c r="V2" s="40"/>
      <c r="W2" s="41"/>
      <c r="X2" s="42"/>
      <c r="Y2" s="43"/>
      <c r="Z2" s="44"/>
    </row>
    <row r="3" spans="1:26" ht="17.399999999999999" x14ac:dyDescent="0.3">
      <c r="A3" s="26" t="s">
        <v>5</v>
      </c>
      <c r="B3" s="5"/>
      <c r="C3" s="5"/>
      <c r="D3" s="5"/>
      <c r="E3" s="5"/>
      <c r="F3" s="5"/>
      <c r="G3" s="5"/>
      <c r="H3" s="5"/>
      <c r="I3" s="5">
        <v>3</v>
      </c>
      <c r="J3" s="5"/>
      <c r="K3" s="5"/>
      <c r="L3" s="5"/>
      <c r="M3" s="5">
        <v>3</v>
      </c>
      <c r="N3" s="5"/>
      <c r="O3" s="5"/>
      <c r="P3" s="36">
        <f t="shared" ref="P3:P38" si="0">SUM(K3:O3)</f>
        <v>3</v>
      </c>
      <c r="Q3" s="36">
        <f>Attendence!R3 + P3</f>
        <v>13</v>
      </c>
      <c r="R3" s="12"/>
    </row>
    <row r="4" spans="1:26" ht="17.399999999999999" x14ac:dyDescent="0.3">
      <c r="A4" s="26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4"/>
      <c r="I4" s="4">
        <v>3</v>
      </c>
      <c r="J4" s="4">
        <v>5</v>
      </c>
      <c r="K4" s="4"/>
      <c r="L4" s="4">
        <v>3</v>
      </c>
      <c r="M4" s="4"/>
      <c r="N4" s="4">
        <v>5</v>
      </c>
      <c r="O4" s="4">
        <v>5</v>
      </c>
      <c r="P4" s="36">
        <f t="shared" si="0"/>
        <v>13</v>
      </c>
      <c r="Q4" s="36">
        <f>Attendence!R4 + P4</f>
        <v>35</v>
      </c>
      <c r="R4" s="17"/>
    </row>
    <row r="5" spans="1:26" ht="17.399999999999999" x14ac:dyDescent="0.3">
      <c r="A5" s="26" t="s">
        <v>26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74"/>
      <c r="N5" s="74"/>
      <c r="O5" s="74"/>
      <c r="P5" s="36">
        <f t="shared" si="0"/>
        <v>0</v>
      </c>
      <c r="Q5" s="36">
        <f>Attendence!R5 + P5</f>
        <v>4</v>
      </c>
      <c r="R5" s="17"/>
    </row>
    <row r="6" spans="1:26" ht="17.399999999999999" x14ac:dyDescent="0.3">
      <c r="A6" s="25" t="s">
        <v>27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74"/>
      <c r="N6" s="74"/>
      <c r="O6" s="74"/>
      <c r="P6" s="36">
        <f t="shared" si="0"/>
        <v>0</v>
      </c>
      <c r="Q6" s="36">
        <f>Attendence!R6 + P6</f>
        <v>6</v>
      </c>
      <c r="R6" s="11"/>
      <c r="T6" s="38"/>
    </row>
    <row r="7" spans="1:26" ht="17.399999999999999" x14ac:dyDescent="0.3">
      <c r="A7" s="27" t="s">
        <v>1</v>
      </c>
      <c r="B7" s="5">
        <v>3</v>
      </c>
      <c r="C7" s="5"/>
      <c r="D7" s="5"/>
      <c r="E7" s="5"/>
      <c r="F7" s="5"/>
      <c r="G7" s="5"/>
      <c r="H7" s="4">
        <v>3</v>
      </c>
      <c r="I7" s="4"/>
      <c r="J7" s="5">
        <v>7</v>
      </c>
      <c r="K7" s="5">
        <v>7</v>
      </c>
      <c r="L7" s="5"/>
      <c r="M7" s="74"/>
      <c r="N7" s="74"/>
      <c r="O7" s="5">
        <v>3</v>
      </c>
      <c r="P7" s="36">
        <f t="shared" si="0"/>
        <v>10</v>
      </c>
      <c r="Q7" s="36">
        <f>Attendence!R7 + P7</f>
        <v>24</v>
      </c>
      <c r="R7" s="12"/>
    </row>
    <row r="8" spans="1:26" ht="17.399999999999999" x14ac:dyDescent="0.3">
      <c r="A8" s="27" t="s">
        <v>22</v>
      </c>
      <c r="B8" s="4"/>
      <c r="C8" s="4"/>
      <c r="D8" s="4"/>
      <c r="E8" s="5"/>
      <c r="F8" s="5"/>
      <c r="G8" s="5"/>
      <c r="H8" s="4"/>
      <c r="I8" s="4"/>
      <c r="J8" s="4"/>
      <c r="K8" s="4"/>
      <c r="L8" s="4"/>
      <c r="M8" s="74"/>
      <c r="N8" s="74"/>
      <c r="O8" s="74"/>
      <c r="P8" s="36">
        <f t="shared" si="0"/>
        <v>0</v>
      </c>
      <c r="Q8" s="36">
        <f>Attendence!R8 + P8</f>
        <v>14</v>
      </c>
      <c r="R8" s="16"/>
    </row>
    <row r="9" spans="1:26" ht="20.399999999999999" customHeight="1" x14ac:dyDescent="0.3">
      <c r="A9" s="26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4">
        <v>5</v>
      </c>
      <c r="I9" s="4">
        <v>5</v>
      </c>
      <c r="J9" s="5">
        <v>3</v>
      </c>
      <c r="K9" s="5">
        <v>3</v>
      </c>
      <c r="L9" s="5">
        <v>7</v>
      </c>
      <c r="M9" s="4">
        <v>5</v>
      </c>
      <c r="N9" s="5">
        <v>7</v>
      </c>
      <c r="O9" s="4">
        <v>5</v>
      </c>
      <c r="P9" s="36">
        <f t="shared" si="0"/>
        <v>27</v>
      </c>
      <c r="Q9" s="36">
        <f>Attendence!R9 + P9</f>
        <v>55</v>
      </c>
      <c r="R9" s="11"/>
    </row>
    <row r="10" spans="1:26" ht="17.399999999999999" x14ac:dyDescent="0.3">
      <c r="A10" s="26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4">
        <v>5</v>
      </c>
      <c r="I10" s="4">
        <v>5</v>
      </c>
      <c r="J10" s="4">
        <v>5</v>
      </c>
      <c r="K10" s="4">
        <v>3</v>
      </c>
      <c r="L10" s="4"/>
      <c r="M10" s="74"/>
      <c r="N10" s="74"/>
      <c r="O10" s="4">
        <v>5</v>
      </c>
      <c r="P10" s="36">
        <f t="shared" si="0"/>
        <v>8</v>
      </c>
      <c r="Q10" s="36">
        <f>Attendence!R10 + P10</f>
        <v>28</v>
      </c>
      <c r="R10" s="16"/>
    </row>
    <row r="11" spans="1:26" ht="17.399999999999999" x14ac:dyDescent="0.3">
      <c r="A11" s="26" t="s">
        <v>15</v>
      </c>
      <c r="C11" s="4">
        <v>5</v>
      </c>
      <c r="D11" s="4">
        <v>5</v>
      </c>
      <c r="E11" s="5"/>
      <c r="F11" s="5"/>
      <c r="G11" s="5"/>
      <c r="H11" s="4"/>
      <c r="I11" s="4"/>
      <c r="J11" s="4"/>
      <c r="K11" s="4"/>
      <c r="L11" s="4"/>
      <c r="M11" s="74"/>
      <c r="N11" s="74"/>
      <c r="O11" s="4">
        <v>5</v>
      </c>
      <c r="P11" s="36">
        <f t="shared" si="0"/>
        <v>5</v>
      </c>
      <c r="Q11" s="36">
        <f>Attendence!R11 + P11</f>
        <v>17</v>
      </c>
      <c r="R11" s="12"/>
    </row>
    <row r="12" spans="1:26" ht="17.399999999999999" x14ac:dyDescent="0.3">
      <c r="A12" s="27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5">
        <v>3</v>
      </c>
      <c r="I12" s="5"/>
      <c r="J12" s="5"/>
      <c r="K12" s="5">
        <v>3</v>
      </c>
      <c r="L12" s="5">
        <v>5</v>
      </c>
      <c r="M12" s="74">
        <v>3</v>
      </c>
      <c r="N12" s="74"/>
      <c r="O12" s="5">
        <v>5</v>
      </c>
      <c r="P12" s="36">
        <f t="shared" si="0"/>
        <v>16</v>
      </c>
      <c r="Q12" s="36">
        <f>Attendence!R12 + P12</f>
        <v>42</v>
      </c>
      <c r="R12" s="7"/>
    </row>
    <row r="13" spans="1:26" ht="17.399999999999999" x14ac:dyDescent="0.3">
      <c r="A13" s="25" t="s">
        <v>30</v>
      </c>
      <c r="B13" s="5"/>
      <c r="C13" s="4">
        <v>3</v>
      </c>
      <c r="D13" s="4">
        <v>3</v>
      </c>
      <c r="F13" s="54">
        <v>3</v>
      </c>
      <c r="G13" s="54"/>
      <c r="H13" s="5"/>
      <c r="I13" s="5">
        <v>3</v>
      </c>
      <c r="J13" s="4">
        <v>5</v>
      </c>
      <c r="K13" s="4"/>
      <c r="L13" s="4">
        <v>3</v>
      </c>
      <c r="M13" s="4">
        <v>3</v>
      </c>
      <c r="N13" s="4"/>
      <c r="O13" s="4"/>
      <c r="P13" s="36">
        <f t="shared" si="0"/>
        <v>6</v>
      </c>
      <c r="Q13" s="36">
        <f>Attendence!R13 + P13</f>
        <v>28</v>
      </c>
      <c r="R13" s="6"/>
    </row>
    <row r="14" spans="1:26" ht="34.200000000000003" customHeight="1" x14ac:dyDescent="0.3">
      <c r="A14" s="25" t="s">
        <v>31</v>
      </c>
      <c r="B14" s="4"/>
      <c r="C14" s="4"/>
      <c r="D14" s="4">
        <v>3</v>
      </c>
      <c r="E14" s="5">
        <v>3</v>
      </c>
      <c r="F14" s="5">
        <v>3</v>
      </c>
      <c r="G14" s="5"/>
      <c r="H14" s="5"/>
      <c r="I14" s="5"/>
      <c r="J14" s="5"/>
      <c r="K14" s="5"/>
      <c r="L14" s="5"/>
      <c r="M14" s="74"/>
      <c r="N14" s="74"/>
      <c r="O14" s="74"/>
      <c r="P14" s="36">
        <f t="shared" si="0"/>
        <v>0</v>
      </c>
      <c r="Q14" s="36">
        <f>Attendence!R14 + P14</f>
        <v>10</v>
      </c>
      <c r="R14" s="16"/>
    </row>
    <row r="15" spans="1:26" ht="17.399999999999999" x14ac:dyDescent="0.3">
      <c r="A15" s="27" t="s">
        <v>6</v>
      </c>
      <c r="B15" s="4"/>
      <c r="C15" s="4">
        <v>5</v>
      </c>
      <c r="D15" s="4"/>
      <c r="E15" s="5"/>
      <c r="F15" s="5"/>
      <c r="G15" s="5"/>
      <c r="H15" s="4"/>
      <c r="I15" s="4"/>
      <c r="J15" s="4">
        <v>5</v>
      </c>
      <c r="K15" s="4">
        <v>3</v>
      </c>
      <c r="L15" s="4"/>
      <c r="M15" s="4">
        <v>3</v>
      </c>
      <c r="N15" s="4">
        <v>3</v>
      </c>
      <c r="O15" s="4">
        <v>3</v>
      </c>
      <c r="P15" s="36">
        <f t="shared" si="0"/>
        <v>12</v>
      </c>
      <c r="Q15" s="36">
        <f>Attendence!R15 + P15</f>
        <v>32</v>
      </c>
      <c r="R15" s="6"/>
    </row>
    <row r="16" spans="1:26" ht="27.6" customHeight="1" x14ac:dyDescent="0.3">
      <c r="A16" s="26" t="s">
        <v>7</v>
      </c>
      <c r="B16" s="5">
        <v>7</v>
      </c>
      <c r="C16" s="5">
        <v>7</v>
      </c>
      <c r="D16" s="5">
        <v>3</v>
      </c>
      <c r="E16" s="5"/>
      <c r="F16" s="5"/>
      <c r="G16" s="5"/>
      <c r="H16" s="4"/>
      <c r="I16" s="4"/>
      <c r="J16" s="4"/>
      <c r="K16" s="4"/>
      <c r="L16" s="4"/>
      <c r="M16" s="74"/>
      <c r="N16" s="74"/>
      <c r="O16" s="74"/>
      <c r="P16" s="36">
        <f t="shared" si="0"/>
        <v>0</v>
      </c>
      <c r="Q16" s="36">
        <f>Attendence!R16 + P16</f>
        <v>12</v>
      </c>
      <c r="R16" s="11"/>
    </row>
    <row r="17" spans="1:18" ht="17.399999999999999" x14ac:dyDescent="0.3">
      <c r="A17" s="26" t="s">
        <v>32</v>
      </c>
      <c r="B17" s="4"/>
      <c r="C17" s="4"/>
      <c r="D17" s="4">
        <v>3</v>
      </c>
      <c r="E17" s="5"/>
      <c r="F17" s="5"/>
      <c r="G17" s="5"/>
      <c r="H17" s="5"/>
      <c r="I17" s="5"/>
      <c r="J17" s="5"/>
      <c r="K17" s="5"/>
      <c r="L17" s="5"/>
      <c r="M17" s="74"/>
      <c r="N17" s="74"/>
      <c r="O17" s="74"/>
      <c r="P17" s="36">
        <f t="shared" si="0"/>
        <v>0</v>
      </c>
      <c r="Q17" s="36">
        <f>Attendence!R17 + P17</f>
        <v>8</v>
      </c>
      <c r="R17" s="6"/>
    </row>
    <row r="18" spans="1:18" ht="17.399999999999999" x14ac:dyDescent="0.3">
      <c r="A18" s="28" t="s">
        <v>8</v>
      </c>
      <c r="B18" s="9"/>
      <c r="C18" s="9"/>
      <c r="D18" s="9"/>
      <c r="E18" s="5"/>
      <c r="F18" s="5"/>
      <c r="G18" s="5"/>
      <c r="H18" s="9"/>
      <c r="I18" s="9"/>
      <c r="J18" s="5">
        <v>3</v>
      </c>
      <c r="K18" s="5"/>
      <c r="L18" s="5"/>
      <c r="M18" s="74"/>
      <c r="N18" s="5">
        <v>3</v>
      </c>
      <c r="O18" s="5"/>
      <c r="P18" s="36">
        <f t="shared" si="0"/>
        <v>3</v>
      </c>
      <c r="Q18" s="36">
        <f>Attendence!R18 + P18</f>
        <v>21</v>
      </c>
      <c r="R18" s="11"/>
    </row>
    <row r="19" spans="1:18" ht="18.600000000000001" customHeight="1" x14ac:dyDescent="0.3">
      <c r="A19" s="26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>
        <v>3</v>
      </c>
      <c r="M19" s="4"/>
      <c r="N19" s="5">
        <v>3</v>
      </c>
      <c r="O19" s="5"/>
      <c r="P19" s="36">
        <f t="shared" si="0"/>
        <v>6</v>
      </c>
      <c r="Q19" s="36">
        <f>Attendence!R19 + P19</f>
        <v>16</v>
      </c>
      <c r="R19" s="7"/>
    </row>
    <row r="20" spans="1:18" ht="16.8" customHeight="1" x14ac:dyDescent="0.3">
      <c r="A20" s="26" t="s">
        <v>9</v>
      </c>
      <c r="B20" s="4"/>
      <c r="C20" s="4"/>
      <c r="D20" s="4"/>
      <c r="E20" s="5"/>
      <c r="F20" s="5"/>
      <c r="G20" s="5"/>
      <c r="H20" s="4"/>
      <c r="I20" s="4"/>
      <c r="J20" s="4"/>
      <c r="K20" s="4"/>
      <c r="L20" s="4"/>
      <c r="M20" s="74"/>
      <c r="N20" s="74"/>
      <c r="O20" s="74"/>
      <c r="P20" s="36">
        <f t="shared" si="0"/>
        <v>0</v>
      </c>
      <c r="Q20" s="36">
        <f>Attendence!R20 + P20</f>
        <v>0</v>
      </c>
      <c r="R20" s="17"/>
    </row>
    <row r="21" spans="1:18" ht="17.399999999999999" x14ac:dyDescent="0.3">
      <c r="A21" s="25" t="s">
        <v>34</v>
      </c>
      <c r="B21" s="5"/>
      <c r="C21" s="5">
        <v>3</v>
      </c>
      <c r="D21" s="5"/>
      <c r="E21" s="5">
        <v>3</v>
      </c>
      <c r="F21" s="5">
        <v>3</v>
      </c>
      <c r="G21" s="5"/>
      <c r="H21" s="4"/>
      <c r="I21" s="4">
        <v>3</v>
      </c>
      <c r="J21" s="4"/>
      <c r="K21" s="4"/>
      <c r="L21" s="4">
        <v>3</v>
      </c>
      <c r="M21" s="4">
        <v>3</v>
      </c>
      <c r="N21" s="4">
        <v>3</v>
      </c>
      <c r="O21" s="4">
        <v>3</v>
      </c>
      <c r="P21" s="36">
        <f t="shared" si="0"/>
        <v>12</v>
      </c>
      <c r="Q21" s="36">
        <f>Attendence!R21 + P21</f>
        <v>40</v>
      </c>
      <c r="R21" s="12"/>
    </row>
    <row r="22" spans="1:18" ht="17.399999999999999" x14ac:dyDescent="0.3">
      <c r="A22" s="26" t="s">
        <v>3</v>
      </c>
      <c r="B22" s="5"/>
      <c r="C22" s="5">
        <v>5</v>
      </c>
      <c r="D22" s="5"/>
      <c r="E22" s="5">
        <v>3</v>
      </c>
      <c r="F22" s="5"/>
      <c r="G22" s="5"/>
      <c r="H22" s="4"/>
      <c r="I22" s="4"/>
      <c r="J22" s="4"/>
      <c r="K22" s="4"/>
      <c r="L22" s="4">
        <v>5</v>
      </c>
      <c r="M22" s="5">
        <v>7</v>
      </c>
      <c r="N22" s="4">
        <v>5</v>
      </c>
      <c r="O22" s="4">
        <v>3</v>
      </c>
      <c r="P22" s="36">
        <f t="shared" si="0"/>
        <v>20</v>
      </c>
      <c r="Q22" s="36">
        <f>Attendence!R22 + P22</f>
        <v>46</v>
      </c>
      <c r="R22" s="37"/>
    </row>
    <row r="23" spans="1:18" ht="42.6" customHeight="1" x14ac:dyDescent="0.3">
      <c r="A23" s="27" t="s">
        <v>35</v>
      </c>
      <c r="B23" s="4"/>
      <c r="C23" s="4"/>
      <c r="D23" s="4"/>
      <c r="E23" s="5"/>
      <c r="F23" s="5"/>
      <c r="G23" s="5"/>
      <c r="H23" s="4"/>
      <c r="I23" s="4"/>
      <c r="J23" s="4"/>
      <c r="K23" s="4"/>
      <c r="L23" s="4"/>
      <c r="M23" s="74"/>
      <c r="N23" s="74"/>
      <c r="O23" s="74"/>
      <c r="P23" s="36">
        <f t="shared" si="0"/>
        <v>0</v>
      </c>
      <c r="Q23" s="36">
        <f>Attendence!R23 + P23</f>
        <v>8</v>
      </c>
      <c r="R23" s="7"/>
    </row>
    <row r="24" spans="1:18" ht="17.399999999999999" x14ac:dyDescent="0.3">
      <c r="A24" s="27" t="s">
        <v>16</v>
      </c>
      <c r="B24" s="4"/>
      <c r="C24" s="4">
        <v>3</v>
      </c>
      <c r="D24" s="4">
        <v>5</v>
      </c>
      <c r="E24" s="5">
        <v>3</v>
      </c>
      <c r="F24" s="5">
        <v>5</v>
      </c>
      <c r="G24" s="5"/>
      <c r="H24" s="4"/>
      <c r="I24" s="4">
        <v>5</v>
      </c>
      <c r="J24" s="4"/>
      <c r="K24" s="4"/>
      <c r="L24" s="4"/>
      <c r="O24" s="4">
        <v>3</v>
      </c>
      <c r="P24" s="36">
        <f t="shared" si="0"/>
        <v>3</v>
      </c>
      <c r="Q24" s="36">
        <f>Attendence!R24 + P24</f>
        <v>21</v>
      </c>
      <c r="R24" s="11"/>
    </row>
    <row r="25" spans="1:18" ht="17.399999999999999" x14ac:dyDescent="0.3">
      <c r="A25" s="27" t="s">
        <v>10</v>
      </c>
      <c r="B25" s="4"/>
      <c r="C25" s="5">
        <v>3</v>
      </c>
      <c r="D25" s="5"/>
      <c r="E25" s="5">
        <v>5</v>
      </c>
      <c r="F25" s="5"/>
      <c r="G25" s="5"/>
      <c r="H25" s="4">
        <v>5</v>
      </c>
      <c r="I25" s="5">
        <v>7</v>
      </c>
      <c r="J25" s="5"/>
      <c r="K25" s="5"/>
      <c r="L25" s="5">
        <v>5</v>
      </c>
      <c r="M25" s="4"/>
      <c r="N25" s="4">
        <v>5</v>
      </c>
      <c r="O25" s="5">
        <v>7</v>
      </c>
      <c r="P25" s="36">
        <f t="shared" si="0"/>
        <v>17</v>
      </c>
      <c r="Q25" s="36">
        <f>Attendence!R25 + P25</f>
        <v>37</v>
      </c>
      <c r="R25" s="17"/>
    </row>
    <row r="26" spans="1:18" ht="17.399999999999999" x14ac:dyDescent="0.3">
      <c r="A26" s="25" t="s">
        <v>36</v>
      </c>
      <c r="B26" s="4"/>
      <c r="C26" s="4"/>
      <c r="D26" s="4"/>
      <c r="E26" s="5"/>
      <c r="F26" s="5"/>
      <c r="G26" s="5"/>
      <c r="H26" s="4"/>
      <c r="I26" s="4"/>
      <c r="J26" s="4"/>
      <c r="K26" s="4"/>
      <c r="L26" s="4"/>
      <c r="M26" s="74"/>
      <c r="N26" s="74"/>
      <c r="O26" s="74"/>
      <c r="P26" s="36">
        <f t="shared" si="0"/>
        <v>0</v>
      </c>
      <c r="Q26" s="36">
        <f>Attendence!R26 + P26</f>
        <v>10</v>
      </c>
      <c r="R26" s="6"/>
    </row>
    <row r="27" spans="1:18" ht="17.399999999999999" x14ac:dyDescent="0.3">
      <c r="A27" s="26" t="s">
        <v>21</v>
      </c>
      <c r="B27" s="4"/>
      <c r="C27" s="4"/>
      <c r="D27" s="4"/>
      <c r="E27" s="5"/>
      <c r="F27" s="5">
        <v>3</v>
      </c>
      <c r="G27" s="5"/>
      <c r="H27" s="4"/>
      <c r="I27" s="4"/>
      <c r="J27" s="5">
        <v>3</v>
      </c>
      <c r="K27" s="5"/>
      <c r="L27" s="5"/>
      <c r="M27" s="74"/>
      <c r="N27" s="74"/>
      <c r="O27" s="74"/>
      <c r="P27" s="36">
        <f t="shared" si="0"/>
        <v>0</v>
      </c>
      <c r="Q27" s="36">
        <f>Attendence!R27 + P27</f>
        <v>12</v>
      </c>
      <c r="R27" s="12"/>
    </row>
    <row r="28" spans="1:18" ht="17.399999999999999" x14ac:dyDescent="0.3">
      <c r="A28" s="26" t="s">
        <v>37</v>
      </c>
      <c r="B28" s="4"/>
      <c r="C28" s="4"/>
      <c r="D28" s="4"/>
      <c r="E28" s="5"/>
      <c r="F28" s="5"/>
      <c r="G28" s="5"/>
      <c r="H28" s="4"/>
      <c r="I28" s="4"/>
      <c r="J28" s="4">
        <v>3</v>
      </c>
      <c r="K28" s="4"/>
      <c r="L28" s="4"/>
      <c r="M28" s="74"/>
      <c r="N28" s="74"/>
      <c r="O28" s="74"/>
      <c r="P28" s="36">
        <f t="shared" si="0"/>
        <v>0</v>
      </c>
      <c r="Q28" s="36">
        <f>Attendence!R28 + P28</f>
        <v>8</v>
      </c>
      <c r="R28" s="16"/>
    </row>
    <row r="29" spans="1:18" ht="17.399999999999999" x14ac:dyDescent="0.3">
      <c r="A29" s="27" t="s">
        <v>11</v>
      </c>
      <c r="B29" s="4"/>
      <c r="C29" s="4"/>
      <c r="D29" s="4"/>
      <c r="E29" s="5"/>
      <c r="F29" s="5"/>
      <c r="G29" s="5"/>
      <c r="H29" s="5"/>
      <c r="I29" s="5"/>
      <c r="J29" s="5"/>
      <c r="K29" s="5"/>
      <c r="L29" s="5">
        <v>7</v>
      </c>
      <c r="M29" s="4">
        <v>5</v>
      </c>
      <c r="N29" s="4"/>
      <c r="O29" s="4"/>
      <c r="P29" s="36">
        <f t="shared" si="0"/>
        <v>12</v>
      </c>
      <c r="Q29" s="36">
        <f>Attendence!R29 + P29</f>
        <v>22</v>
      </c>
      <c r="R29" s="7"/>
    </row>
    <row r="30" spans="1:18" ht="17.399999999999999" x14ac:dyDescent="0.3">
      <c r="A30" s="26" t="s">
        <v>38</v>
      </c>
      <c r="B30" s="4"/>
      <c r="C30" s="4"/>
      <c r="D30" s="4"/>
      <c r="E30" s="5"/>
      <c r="F30" s="5"/>
      <c r="G30" s="5"/>
      <c r="H30" s="4"/>
      <c r="I30" s="4"/>
      <c r="J30" s="4"/>
      <c r="K30" s="4"/>
      <c r="L30" s="4"/>
      <c r="M30" s="5">
        <v>3</v>
      </c>
      <c r="N30" s="5"/>
      <c r="O30" s="5"/>
      <c r="P30" s="36">
        <f t="shared" si="0"/>
        <v>3</v>
      </c>
      <c r="Q30" s="36">
        <f>Attendence!R30 + P30</f>
        <v>11</v>
      </c>
      <c r="R30" s="12"/>
    </row>
    <row r="31" spans="1:18" ht="17.399999999999999" x14ac:dyDescent="0.3">
      <c r="A31" s="27" t="s">
        <v>39</v>
      </c>
      <c r="B31" s="5"/>
      <c r="C31" s="5">
        <v>7</v>
      </c>
      <c r="D31" s="5">
        <v>5</v>
      </c>
      <c r="E31" s="5">
        <v>3</v>
      </c>
      <c r="F31" s="5">
        <v>7</v>
      </c>
      <c r="G31" s="5"/>
      <c r="H31" s="4">
        <v>3</v>
      </c>
      <c r="I31" s="5">
        <v>7</v>
      </c>
      <c r="J31" s="5">
        <v>3</v>
      </c>
      <c r="K31" s="5"/>
      <c r="L31" s="5"/>
      <c r="M31" s="74"/>
      <c r="N31" s="4">
        <v>3</v>
      </c>
      <c r="O31" s="5">
        <v>7</v>
      </c>
      <c r="P31" s="36">
        <f t="shared" si="0"/>
        <v>10</v>
      </c>
      <c r="Q31" s="36">
        <f>Attendence!R31 + P31</f>
        <v>34</v>
      </c>
      <c r="R31" s="16"/>
    </row>
    <row r="32" spans="1:18" ht="17.399999999999999" x14ac:dyDescent="0.3">
      <c r="A32" s="25" t="s">
        <v>40</v>
      </c>
      <c r="B32" s="4"/>
      <c r="C32" s="4"/>
      <c r="D32" s="4"/>
      <c r="E32" s="5"/>
      <c r="F32" s="5">
        <v>3</v>
      </c>
      <c r="G32" s="5"/>
      <c r="H32" s="5"/>
      <c r="I32" s="5"/>
      <c r="J32" s="5"/>
      <c r="K32" s="5"/>
      <c r="L32" s="5"/>
      <c r="M32" s="74"/>
      <c r="N32" s="74">
        <v>3</v>
      </c>
      <c r="O32" s="74"/>
      <c r="P32" s="36">
        <f t="shared" si="0"/>
        <v>3</v>
      </c>
      <c r="Q32" s="36">
        <f>Attendence!R32 + P32</f>
        <v>9</v>
      </c>
      <c r="R32" s="6"/>
    </row>
    <row r="33" spans="1:18" ht="17.399999999999999" x14ac:dyDescent="0.3">
      <c r="A33" s="29" t="s">
        <v>41</v>
      </c>
      <c r="B33" s="4"/>
      <c r="C33" s="4"/>
      <c r="D33" s="4"/>
      <c r="E33" s="5">
        <v>5</v>
      </c>
      <c r="F33" s="5"/>
      <c r="G33" s="5"/>
      <c r="H33" s="4"/>
      <c r="I33" s="5">
        <v>3</v>
      </c>
      <c r="J33" s="4">
        <v>3</v>
      </c>
      <c r="K33" s="4"/>
      <c r="L33" s="4">
        <v>3</v>
      </c>
      <c r="M33" s="5"/>
      <c r="N33" s="5">
        <v>3</v>
      </c>
      <c r="O33" s="5"/>
      <c r="P33" s="36">
        <f t="shared" si="0"/>
        <v>6</v>
      </c>
      <c r="Q33" s="36">
        <f>Attendence!R33 + P33</f>
        <v>24</v>
      </c>
      <c r="R33" s="16"/>
    </row>
    <row r="34" spans="1:18" ht="17.399999999999999" x14ac:dyDescent="0.3">
      <c r="A34" s="26" t="s">
        <v>12</v>
      </c>
      <c r="B34" s="8"/>
      <c r="C34" s="4">
        <v>3</v>
      </c>
      <c r="D34" s="4">
        <v>7</v>
      </c>
      <c r="E34" s="5"/>
      <c r="F34" s="5"/>
      <c r="G34" s="5"/>
      <c r="H34" s="5">
        <v>7</v>
      </c>
      <c r="I34" s="4">
        <v>3</v>
      </c>
      <c r="J34" s="5">
        <v>7</v>
      </c>
      <c r="K34" s="5"/>
      <c r="L34" s="4"/>
      <c r="M34" s="4">
        <v>5</v>
      </c>
      <c r="N34" s="5">
        <v>7</v>
      </c>
      <c r="O34" s="4">
        <v>5</v>
      </c>
      <c r="P34" s="36">
        <f t="shared" si="0"/>
        <v>17</v>
      </c>
      <c r="Q34" s="36">
        <f>Attendence!R34 + P34</f>
        <v>39</v>
      </c>
      <c r="R34" s="6"/>
    </row>
    <row r="35" spans="1:18" ht="17.399999999999999" x14ac:dyDescent="0.3">
      <c r="A35" s="27" t="s">
        <v>4</v>
      </c>
      <c r="B35" s="8"/>
      <c r="C35" s="8"/>
      <c r="D35" s="47">
        <v>3</v>
      </c>
      <c r="E35" s="5">
        <v>3</v>
      </c>
      <c r="F35" s="5">
        <v>5</v>
      </c>
      <c r="G35" s="5"/>
      <c r="H35" s="4"/>
      <c r="I35" s="4">
        <v>5</v>
      </c>
      <c r="J35" s="4"/>
      <c r="K35" s="4">
        <v>5</v>
      </c>
      <c r="L35" s="4"/>
      <c r="M35" s="5">
        <v>7</v>
      </c>
      <c r="N35" s="4">
        <v>8</v>
      </c>
      <c r="O35" s="4">
        <v>3</v>
      </c>
      <c r="P35" s="36">
        <f t="shared" si="0"/>
        <v>23</v>
      </c>
      <c r="Q35" s="36">
        <f>Attendence!R35 + P35</f>
        <v>47</v>
      </c>
      <c r="R35" s="7"/>
    </row>
    <row r="36" spans="1:18" ht="17.399999999999999" x14ac:dyDescent="0.3">
      <c r="A36" s="27" t="s">
        <v>13</v>
      </c>
      <c r="B36" s="5">
        <v>3</v>
      </c>
      <c r="C36" s="8"/>
      <c r="D36" s="8"/>
      <c r="E36" s="5"/>
      <c r="F36" s="5"/>
      <c r="G36" s="5"/>
      <c r="H36" s="8"/>
      <c r="I36" s="8"/>
      <c r="J36" s="8"/>
      <c r="K36" s="8"/>
      <c r="L36" s="4">
        <v>3</v>
      </c>
      <c r="M36" s="4">
        <v>5</v>
      </c>
      <c r="N36" s="4">
        <v>5</v>
      </c>
      <c r="O36" s="4"/>
      <c r="P36" s="36">
        <f t="shared" si="0"/>
        <v>13</v>
      </c>
      <c r="Q36" s="36">
        <f>Attendence!R36 + P36</f>
        <v>23</v>
      </c>
      <c r="R36" s="17"/>
    </row>
    <row r="37" spans="1:18" ht="17.399999999999999" x14ac:dyDescent="0.3">
      <c r="A37" s="27" t="s">
        <v>14</v>
      </c>
      <c r="B37" s="5"/>
      <c r="C37" s="8"/>
      <c r="D37" s="8"/>
      <c r="E37" s="5"/>
      <c r="F37" s="5"/>
      <c r="G37" s="5"/>
      <c r="H37" s="8"/>
      <c r="I37" s="8"/>
      <c r="J37" s="8"/>
      <c r="K37" s="8"/>
      <c r="L37" s="4"/>
      <c r="M37" s="74"/>
      <c r="N37" s="74"/>
      <c r="O37" s="74"/>
      <c r="P37" s="36">
        <f t="shared" si="0"/>
        <v>0</v>
      </c>
      <c r="Q37" s="36">
        <f>Attendence!R37 + P37</f>
        <v>0</v>
      </c>
      <c r="R37" s="17"/>
    </row>
    <row r="38" spans="1:18" ht="17.399999999999999" x14ac:dyDescent="0.3">
      <c r="A38" s="27" t="s">
        <v>42</v>
      </c>
      <c r="B38" s="5"/>
      <c r="C38" s="5">
        <v>3</v>
      </c>
      <c r="D38" s="5">
        <v>3</v>
      </c>
      <c r="E38" s="5"/>
      <c r="F38" s="5"/>
      <c r="G38" s="5"/>
      <c r="H38" s="5">
        <v>3</v>
      </c>
      <c r="I38" s="5">
        <v>3</v>
      </c>
      <c r="J38" s="4">
        <v>3</v>
      </c>
      <c r="K38" s="4"/>
      <c r="L38" s="4">
        <v>5</v>
      </c>
      <c r="M38" s="5">
        <v>3</v>
      </c>
      <c r="N38" s="5"/>
      <c r="O38" s="74">
        <v>3</v>
      </c>
      <c r="P38" s="36">
        <f t="shared" si="0"/>
        <v>11</v>
      </c>
      <c r="Q38" s="36">
        <f>Attendence!R38 + P38</f>
        <v>39</v>
      </c>
      <c r="R38" s="11"/>
    </row>
    <row r="39" spans="1:18" x14ac:dyDescent="0.3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P39" s="19"/>
      <c r="Q39" s="19"/>
    </row>
    <row r="40" spans="1:18" ht="20.399999999999999" x14ac:dyDescent="0.3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P40" s="20"/>
      <c r="Q40" s="20"/>
    </row>
    <row r="41" spans="1:18" ht="20.399999999999999" x14ac:dyDescent="0.3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P41" s="21"/>
      <c r="Q41" s="21"/>
    </row>
    <row r="42" spans="1:18" ht="20.399999999999999" x14ac:dyDescent="0.35">
      <c r="A42" s="20"/>
      <c r="B42" s="21"/>
      <c r="C42" s="21"/>
      <c r="H42" s="21"/>
      <c r="I42" s="21"/>
      <c r="J42" s="21"/>
      <c r="K42" s="21"/>
      <c r="L42" s="21"/>
      <c r="P42" s="21"/>
      <c r="Q42" s="21"/>
    </row>
  </sheetData>
  <autoFilter ref="A1:Z38" xr:uid="{02E05EA9-3D9B-48CB-9E14-912A05B4285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6E59-7E56-4CA9-B0A3-E511E6D7F44A}">
  <sheetPr codeName="Sheet3"/>
  <dimension ref="A1:Z56"/>
  <sheetViews>
    <sheetView tabSelected="1" topLeftCell="J1" zoomScale="60" zoomScaleNormal="60" workbookViewId="0">
      <selection activeCell="P43" sqref="P43"/>
    </sheetView>
  </sheetViews>
  <sheetFormatPr defaultRowHeight="14.4" x14ac:dyDescent="0.3"/>
  <cols>
    <col min="1" max="1" width="45.109375" style="1" customWidth="1"/>
    <col min="2" max="5" width="49.5546875" customWidth="1"/>
    <col min="6" max="6" width="49.5546875" style="55" customWidth="1"/>
    <col min="7" max="12" width="49.5546875" customWidth="1"/>
    <col min="13" max="13" width="43.88671875" customWidth="1"/>
    <col min="14" max="15" width="66.33203125" customWidth="1"/>
    <col min="16" max="16" width="49.5546875" customWidth="1"/>
    <col min="17" max="17" width="33.33203125" customWidth="1"/>
    <col min="18" max="18" width="62.33203125" customWidth="1"/>
    <col min="21" max="21" width="22.77734375" customWidth="1"/>
    <col min="22" max="22" width="19.109375" bestFit="1" customWidth="1"/>
    <col min="23" max="23" width="21.88671875" bestFit="1" customWidth="1"/>
    <col min="24" max="24" width="26.109375" bestFit="1" customWidth="1"/>
    <col min="25" max="25" width="22.44140625" customWidth="1"/>
    <col min="26" max="26" width="11.6640625" bestFit="1" customWidth="1"/>
  </cols>
  <sheetData>
    <row r="1" spans="1:26" ht="23.4" x14ac:dyDescent="0.4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>
        <v>46268</v>
      </c>
      <c r="L1" s="3">
        <v>46275</v>
      </c>
      <c r="M1" s="3">
        <v>46282</v>
      </c>
      <c r="N1" s="3">
        <v>46289</v>
      </c>
      <c r="O1" s="3">
        <v>46295</v>
      </c>
      <c r="P1" s="3" t="s">
        <v>19</v>
      </c>
      <c r="Q1" s="3" t="s">
        <v>52</v>
      </c>
      <c r="R1" s="3" t="s">
        <v>23</v>
      </c>
      <c r="U1" s="46" t="s">
        <v>4</v>
      </c>
      <c r="V1" s="45" t="s">
        <v>34</v>
      </c>
      <c r="W1" s="45" t="s">
        <v>20</v>
      </c>
      <c r="X1" s="45" t="s">
        <v>42</v>
      </c>
      <c r="Y1" s="45" t="s">
        <v>39</v>
      </c>
      <c r="Z1" s="45" t="s">
        <v>30</v>
      </c>
    </row>
    <row r="2" spans="1:26" ht="21" x14ac:dyDescent="0.4">
      <c r="A2" s="25" t="s">
        <v>25</v>
      </c>
      <c r="B2" s="5"/>
      <c r="C2" s="5"/>
      <c r="D2" s="5">
        <v>10</v>
      </c>
      <c r="E2" s="5">
        <v>3</v>
      </c>
      <c r="F2" s="5">
        <v>3</v>
      </c>
      <c r="G2" s="5"/>
      <c r="H2" s="5"/>
      <c r="I2" s="5"/>
      <c r="J2" s="5"/>
      <c r="K2" s="5"/>
      <c r="L2" s="5">
        <v>3</v>
      </c>
      <c r="M2" s="5"/>
      <c r="N2" s="5"/>
      <c r="O2" s="5">
        <v>3</v>
      </c>
      <c r="P2" s="5">
        <f>SUM(B2:O2)</f>
        <v>22</v>
      </c>
      <c r="Q2" s="36">
        <f>Attendence!R2 + P2</f>
        <v>48</v>
      </c>
      <c r="R2" s="7">
        <v>48</v>
      </c>
      <c r="U2" s="39" cm="1">
        <f t="array" ref="U2">SumByColor(R2, R2:R38)</f>
        <v>243</v>
      </c>
      <c r="V2" s="49" cm="1">
        <f t="array" ref="V2">SumByColor(R3, R2:R38)</f>
        <v>217</v>
      </c>
      <c r="W2" s="41" cm="1">
        <f t="array" ref="W2">SumByColor(R4, R2:R38)</f>
        <v>166</v>
      </c>
      <c r="X2" s="42" cm="1">
        <f t="array" ref="X2">SumByColor(R6, R2:R38)</f>
        <v>273</v>
      </c>
      <c r="Y2" s="43" cm="1">
        <f t="array" ref="Y2">SumByColor(R8, R2:R38)</f>
        <v>241</v>
      </c>
      <c r="Z2" s="44" cm="1">
        <f t="array" ref="Z2">SumByColor(R13, R2:R38)</f>
        <v>249</v>
      </c>
    </row>
    <row r="3" spans="1:26" ht="17.399999999999999" x14ac:dyDescent="0.3">
      <c r="A3" s="26" t="s">
        <v>5</v>
      </c>
      <c r="B3" s="5"/>
      <c r="C3" s="5"/>
      <c r="D3" s="5"/>
      <c r="E3" s="5"/>
      <c r="F3" s="5"/>
      <c r="G3" s="5"/>
      <c r="H3" s="5"/>
      <c r="I3" s="5">
        <v>3</v>
      </c>
      <c r="J3" s="5"/>
      <c r="K3" s="5"/>
      <c r="L3" s="5"/>
      <c r="M3" s="5">
        <v>3</v>
      </c>
      <c r="N3" s="5"/>
      <c r="O3" s="5"/>
      <c r="P3" s="5">
        <f t="shared" ref="P3:P38" si="0">SUM(B3:O3)</f>
        <v>6</v>
      </c>
      <c r="Q3" s="36">
        <f>Attendence!R3 + P3</f>
        <v>16</v>
      </c>
      <c r="R3" s="12">
        <v>16</v>
      </c>
    </row>
    <row r="4" spans="1:26" ht="17.399999999999999" x14ac:dyDescent="0.3">
      <c r="A4" s="26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4"/>
      <c r="I4" s="4">
        <v>10</v>
      </c>
      <c r="J4" s="4">
        <v>5</v>
      </c>
      <c r="K4" s="4"/>
      <c r="L4" s="4">
        <v>10</v>
      </c>
      <c r="M4" s="4"/>
      <c r="N4" s="4">
        <v>5</v>
      </c>
      <c r="O4" s="4">
        <v>5</v>
      </c>
      <c r="P4" s="5">
        <f t="shared" si="0"/>
        <v>57</v>
      </c>
      <c r="Q4" s="36">
        <f>Attendence!R4 + P4</f>
        <v>79</v>
      </c>
      <c r="R4" s="17">
        <v>79</v>
      </c>
    </row>
    <row r="5" spans="1:26" ht="17.399999999999999" x14ac:dyDescent="0.3">
      <c r="A5" s="26" t="s">
        <v>26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74"/>
      <c r="N5" s="74"/>
      <c r="O5" s="74"/>
      <c r="P5" s="5">
        <f t="shared" si="0"/>
        <v>0</v>
      </c>
      <c r="Q5" s="36">
        <f>Attendence!R5 + P5</f>
        <v>4</v>
      </c>
      <c r="R5" s="17">
        <v>4</v>
      </c>
    </row>
    <row r="6" spans="1:26" ht="17.399999999999999" x14ac:dyDescent="0.3">
      <c r="A6" s="25" t="s">
        <v>27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74"/>
      <c r="N6" s="74"/>
      <c r="O6" s="74"/>
      <c r="P6" s="5">
        <f t="shared" si="0"/>
        <v>0</v>
      </c>
      <c r="Q6" s="36">
        <f>Attendence!R6 + P6</f>
        <v>6</v>
      </c>
      <c r="R6" s="11">
        <v>6</v>
      </c>
      <c r="T6" s="38"/>
    </row>
    <row r="7" spans="1:26" ht="17.399999999999999" x14ac:dyDescent="0.3">
      <c r="A7" s="27" t="s">
        <v>1</v>
      </c>
      <c r="B7" s="5">
        <v>3</v>
      </c>
      <c r="C7" s="5"/>
      <c r="D7" s="5"/>
      <c r="E7" s="5"/>
      <c r="F7" s="5"/>
      <c r="G7" s="5"/>
      <c r="H7" s="4">
        <v>10</v>
      </c>
      <c r="I7" s="4"/>
      <c r="J7" s="5">
        <v>7</v>
      </c>
      <c r="K7" s="5">
        <v>7</v>
      </c>
      <c r="L7" s="5"/>
      <c r="M7" s="74"/>
      <c r="N7" s="74"/>
      <c r="O7" s="5">
        <v>3</v>
      </c>
      <c r="P7" s="5">
        <f t="shared" si="0"/>
        <v>30</v>
      </c>
      <c r="Q7" s="36">
        <f>Attendence!R7 + P7</f>
        <v>44</v>
      </c>
      <c r="R7" s="12">
        <v>44</v>
      </c>
    </row>
    <row r="8" spans="1:26" ht="17.399999999999999" x14ac:dyDescent="0.3">
      <c r="A8" s="27" t="s">
        <v>22</v>
      </c>
      <c r="B8" s="4"/>
      <c r="C8" s="4"/>
      <c r="D8" s="4"/>
      <c r="E8" s="5"/>
      <c r="F8" s="5"/>
      <c r="G8" s="5"/>
      <c r="H8" s="4"/>
      <c r="I8" s="4"/>
      <c r="J8" s="4"/>
      <c r="K8" s="4"/>
      <c r="L8" s="4"/>
      <c r="M8" s="74"/>
      <c r="N8" s="74"/>
      <c r="O8" s="74"/>
      <c r="P8" s="5">
        <f t="shared" si="0"/>
        <v>0</v>
      </c>
      <c r="Q8" s="36">
        <f>Attendence!R8 + P8</f>
        <v>14</v>
      </c>
      <c r="R8" s="16">
        <v>14</v>
      </c>
    </row>
    <row r="9" spans="1:26" ht="20.399999999999999" customHeight="1" x14ac:dyDescent="0.3">
      <c r="A9" s="26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4">
        <v>5</v>
      </c>
      <c r="I9" s="4">
        <v>5</v>
      </c>
      <c r="J9" s="5">
        <v>3</v>
      </c>
      <c r="K9" s="5">
        <v>3</v>
      </c>
      <c r="L9" s="5">
        <v>7</v>
      </c>
      <c r="M9" s="4">
        <v>5</v>
      </c>
      <c r="N9" s="5">
        <v>7</v>
      </c>
      <c r="O9" s="4">
        <v>5</v>
      </c>
      <c r="P9" s="5">
        <f t="shared" si="0"/>
        <v>62</v>
      </c>
      <c r="Q9" s="36">
        <f>Attendence!R9 + P9</f>
        <v>90</v>
      </c>
      <c r="R9" s="11">
        <v>90</v>
      </c>
    </row>
    <row r="10" spans="1:26" ht="23.4" x14ac:dyDescent="0.45">
      <c r="A10" s="26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4">
        <v>5</v>
      </c>
      <c r="I10" s="4">
        <v>5</v>
      </c>
      <c r="J10" s="4">
        <v>5</v>
      </c>
      <c r="K10" s="4">
        <v>3</v>
      </c>
      <c r="L10" s="4"/>
      <c r="M10" s="74"/>
      <c r="N10" s="74"/>
      <c r="O10" s="4">
        <v>5</v>
      </c>
      <c r="P10" s="5">
        <f t="shared" si="0"/>
        <v>38</v>
      </c>
      <c r="Q10" s="36">
        <f>Attendence!R10 + P10</f>
        <v>58</v>
      </c>
      <c r="R10" s="16">
        <v>58</v>
      </c>
      <c r="U10" s="45"/>
    </row>
    <row r="11" spans="1:26" ht="23.4" x14ac:dyDescent="0.45">
      <c r="A11" s="26" t="s">
        <v>15</v>
      </c>
      <c r="C11" s="4">
        <v>5</v>
      </c>
      <c r="D11" s="4">
        <v>5</v>
      </c>
      <c r="E11" s="5"/>
      <c r="F11" s="5"/>
      <c r="G11" s="5"/>
      <c r="H11" s="4"/>
      <c r="I11" s="4"/>
      <c r="J11" s="4"/>
      <c r="K11" s="4"/>
      <c r="L11" s="4"/>
      <c r="M11" s="74"/>
      <c r="N11" s="74"/>
      <c r="O11" s="4">
        <v>5</v>
      </c>
      <c r="P11" s="5">
        <f t="shared" si="0"/>
        <v>15</v>
      </c>
      <c r="Q11" s="36">
        <f>Attendence!R11 + P11</f>
        <v>27</v>
      </c>
      <c r="R11" s="12">
        <v>27</v>
      </c>
      <c r="U11" s="45"/>
    </row>
    <row r="12" spans="1:26" ht="23.4" x14ac:dyDescent="0.45">
      <c r="A12" s="27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5">
        <v>3</v>
      </c>
      <c r="I12" s="5"/>
      <c r="J12" s="5"/>
      <c r="K12" s="5">
        <v>3</v>
      </c>
      <c r="L12" s="5">
        <v>5</v>
      </c>
      <c r="M12" s="74">
        <v>3</v>
      </c>
      <c r="N12" s="74"/>
      <c r="O12" s="5">
        <v>5</v>
      </c>
      <c r="P12" s="5">
        <f t="shared" si="0"/>
        <v>32</v>
      </c>
      <c r="Q12" s="36">
        <f>Attendence!R12 + P12</f>
        <v>58</v>
      </c>
      <c r="R12" s="7">
        <v>58</v>
      </c>
      <c r="U12" s="45"/>
    </row>
    <row r="13" spans="1:26" ht="23.4" x14ac:dyDescent="0.45">
      <c r="A13" s="25" t="s">
        <v>30</v>
      </c>
      <c r="B13" s="5"/>
      <c r="C13" s="4">
        <v>10</v>
      </c>
      <c r="D13" s="4">
        <v>10</v>
      </c>
      <c r="F13" s="54">
        <v>3</v>
      </c>
      <c r="G13" s="54"/>
      <c r="H13" s="5"/>
      <c r="I13" s="5">
        <v>3</v>
      </c>
      <c r="J13" s="4">
        <v>5</v>
      </c>
      <c r="K13" s="4"/>
      <c r="L13" s="4">
        <v>10</v>
      </c>
      <c r="M13" s="4">
        <v>10</v>
      </c>
      <c r="N13" s="4"/>
      <c r="O13" s="4"/>
      <c r="P13" s="5">
        <f t="shared" si="0"/>
        <v>51</v>
      </c>
      <c r="Q13" s="36">
        <f>Attendence!R13 + P13</f>
        <v>73</v>
      </c>
      <c r="R13" s="6">
        <v>73</v>
      </c>
      <c r="U13" s="46"/>
    </row>
    <row r="14" spans="1:26" ht="34.200000000000003" customHeight="1" x14ac:dyDescent="0.45">
      <c r="A14" s="25" t="s">
        <v>31</v>
      </c>
      <c r="B14" s="4"/>
      <c r="C14" s="4"/>
      <c r="D14" s="4">
        <v>3</v>
      </c>
      <c r="E14" s="5">
        <v>10</v>
      </c>
      <c r="F14" s="5">
        <v>3</v>
      </c>
      <c r="G14" s="5"/>
      <c r="H14" s="5"/>
      <c r="I14" s="5"/>
      <c r="J14" s="5"/>
      <c r="K14" s="5"/>
      <c r="L14" s="5"/>
      <c r="M14" s="74"/>
      <c r="N14" s="74"/>
      <c r="O14" s="74"/>
      <c r="P14" s="5">
        <f t="shared" si="0"/>
        <v>16</v>
      </c>
      <c r="Q14" s="36">
        <f>Attendence!R14 + P14</f>
        <v>26</v>
      </c>
      <c r="R14" s="16">
        <v>26</v>
      </c>
      <c r="U14" s="45"/>
    </row>
    <row r="15" spans="1:26" ht="23.4" x14ac:dyDescent="0.45">
      <c r="A15" s="27" t="s">
        <v>6</v>
      </c>
      <c r="B15" s="4"/>
      <c r="C15" s="4">
        <v>5</v>
      </c>
      <c r="D15" s="4"/>
      <c r="E15" s="5"/>
      <c r="F15" s="5"/>
      <c r="G15" s="5"/>
      <c r="H15" s="4"/>
      <c r="I15" s="4"/>
      <c r="J15" s="4">
        <v>5</v>
      </c>
      <c r="K15" s="4">
        <v>3</v>
      </c>
      <c r="L15" s="4"/>
      <c r="M15" s="4">
        <v>10</v>
      </c>
      <c r="N15" s="4">
        <v>10</v>
      </c>
      <c r="O15" s="4">
        <v>10</v>
      </c>
      <c r="P15" s="5">
        <f t="shared" si="0"/>
        <v>43</v>
      </c>
      <c r="Q15" s="36">
        <f>Attendence!R15 + P15</f>
        <v>63</v>
      </c>
      <c r="R15" s="6">
        <v>63</v>
      </c>
      <c r="U15" s="45"/>
    </row>
    <row r="16" spans="1:26" ht="27.6" customHeight="1" x14ac:dyDescent="0.3">
      <c r="A16" s="26" t="s">
        <v>7</v>
      </c>
      <c r="B16" s="5">
        <v>7</v>
      </c>
      <c r="C16" s="5">
        <v>7</v>
      </c>
      <c r="D16" s="5">
        <v>10</v>
      </c>
      <c r="E16" s="5"/>
      <c r="F16" s="5"/>
      <c r="G16" s="5"/>
      <c r="H16" s="4"/>
      <c r="I16" s="4"/>
      <c r="J16" s="4"/>
      <c r="K16" s="4"/>
      <c r="L16" s="4"/>
      <c r="M16" s="74"/>
      <c r="N16" s="74"/>
      <c r="O16" s="74"/>
      <c r="P16" s="5">
        <f t="shared" si="0"/>
        <v>24</v>
      </c>
      <c r="Q16" s="36">
        <f>Attendence!R16 + P16</f>
        <v>36</v>
      </c>
      <c r="R16" s="11">
        <v>36</v>
      </c>
    </row>
    <row r="17" spans="1:23" ht="17.399999999999999" x14ac:dyDescent="0.3">
      <c r="A17" s="26" t="s">
        <v>32</v>
      </c>
      <c r="B17" s="4"/>
      <c r="C17" s="4"/>
      <c r="D17" s="4">
        <v>3</v>
      </c>
      <c r="E17" s="5"/>
      <c r="F17" s="5"/>
      <c r="G17" s="5"/>
      <c r="H17" s="5"/>
      <c r="I17" s="5"/>
      <c r="J17" s="5"/>
      <c r="K17" s="5"/>
      <c r="L17" s="5"/>
      <c r="M17" s="74"/>
      <c r="N17" s="74"/>
      <c r="O17" s="74"/>
      <c r="P17" s="5">
        <f t="shared" si="0"/>
        <v>3</v>
      </c>
      <c r="Q17" s="36">
        <f>Attendence!R17 + P17</f>
        <v>11</v>
      </c>
      <c r="R17" s="6">
        <v>11</v>
      </c>
    </row>
    <row r="18" spans="1:23" ht="17.399999999999999" x14ac:dyDescent="0.3">
      <c r="A18" s="28" t="s">
        <v>8</v>
      </c>
      <c r="B18" s="9"/>
      <c r="C18" s="9"/>
      <c r="D18" s="9"/>
      <c r="E18" s="5"/>
      <c r="F18" s="5"/>
      <c r="G18" s="5"/>
      <c r="H18" s="9"/>
      <c r="I18" s="9"/>
      <c r="J18" s="5">
        <v>3</v>
      </c>
      <c r="K18" s="5"/>
      <c r="L18" s="5"/>
      <c r="M18" s="74"/>
      <c r="N18" s="5">
        <v>3</v>
      </c>
      <c r="O18" s="5"/>
      <c r="P18" s="5">
        <f t="shared" si="0"/>
        <v>6</v>
      </c>
      <c r="Q18" s="36">
        <f>Attendence!R18 + P18</f>
        <v>24</v>
      </c>
      <c r="R18" s="11">
        <v>24</v>
      </c>
    </row>
    <row r="19" spans="1:23" ht="18.600000000000001" customHeight="1" x14ac:dyDescent="0.45">
      <c r="A19" s="26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>
        <v>10</v>
      </c>
      <c r="M19" s="4"/>
      <c r="N19" s="5">
        <v>3</v>
      </c>
      <c r="O19" s="5"/>
      <c r="P19" s="5">
        <f t="shared" si="0"/>
        <v>13</v>
      </c>
      <c r="Q19" s="36">
        <f>Attendence!R19 + P19</f>
        <v>23</v>
      </c>
      <c r="R19" s="7">
        <v>23</v>
      </c>
      <c r="U19" s="45"/>
      <c r="W19" s="73"/>
    </row>
    <row r="20" spans="1:23" ht="16.8" customHeight="1" x14ac:dyDescent="0.3">
      <c r="A20" s="26" t="s">
        <v>9</v>
      </c>
      <c r="B20" s="4"/>
      <c r="C20" s="4"/>
      <c r="D20" s="4"/>
      <c r="E20" s="5"/>
      <c r="F20" s="5"/>
      <c r="G20" s="5"/>
      <c r="H20" s="4"/>
      <c r="I20" s="4"/>
      <c r="J20" s="4"/>
      <c r="K20" s="4"/>
      <c r="L20" s="4"/>
      <c r="M20" s="74"/>
      <c r="N20" s="74"/>
      <c r="O20" s="74"/>
      <c r="P20" s="5">
        <f t="shared" si="0"/>
        <v>0</v>
      </c>
      <c r="Q20" s="36">
        <f>Attendence!R20 + P20</f>
        <v>0</v>
      </c>
      <c r="R20" s="17">
        <v>0</v>
      </c>
    </row>
    <row r="21" spans="1:23" ht="17.399999999999999" x14ac:dyDescent="0.3">
      <c r="A21" s="25" t="s">
        <v>34</v>
      </c>
      <c r="B21" s="5"/>
      <c r="C21" s="5">
        <v>3</v>
      </c>
      <c r="D21" s="5"/>
      <c r="E21" s="5">
        <v>10</v>
      </c>
      <c r="F21" s="5">
        <v>10</v>
      </c>
      <c r="G21" s="5"/>
      <c r="H21" s="4"/>
      <c r="I21" s="4">
        <v>10</v>
      </c>
      <c r="J21" s="4"/>
      <c r="K21" s="4"/>
      <c r="L21" s="4">
        <v>3</v>
      </c>
      <c r="M21" s="4">
        <v>10</v>
      </c>
      <c r="N21" s="4">
        <v>10</v>
      </c>
      <c r="O21" s="4">
        <v>10</v>
      </c>
      <c r="P21" s="5">
        <f t="shared" si="0"/>
        <v>66</v>
      </c>
      <c r="Q21" s="36">
        <f>Attendence!R21 + P21</f>
        <v>94</v>
      </c>
      <c r="R21" s="12">
        <v>94</v>
      </c>
    </row>
    <row r="22" spans="1:23" ht="17.399999999999999" x14ac:dyDescent="0.3">
      <c r="A22" s="26" t="s">
        <v>3</v>
      </c>
      <c r="B22" s="5"/>
      <c r="C22" s="5">
        <v>5</v>
      </c>
      <c r="D22" s="5"/>
      <c r="E22" s="5">
        <v>10</v>
      </c>
      <c r="F22" s="5"/>
      <c r="G22" s="5"/>
      <c r="H22" s="4"/>
      <c r="I22" s="4"/>
      <c r="J22" s="4"/>
      <c r="K22" s="4"/>
      <c r="L22" s="4">
        <v>5</v>
      </c>
      <c r="M22" s="5">
        <v>7</v>
      </c>
      <c r="N22" s="4">
        <v>5</v>
      </c>
      <c r="O22" s="4">
        <v>10</v>
      </c>
      <c r="P22" s="5">
        <f t="shared" si="0"/>
        <v>42</v>
      </c>
      <c r="Q22" s="36">
        <f>Attendence!R22 + P22</f>
        <v>68</v>
      </c>
      <c r="R22" s="37">
        <v>68</v>
      </c>
    </row>
    <row r="23" spans="1:23" ht="42.6" customHeight="1" x14ac:dyDescent="0.3">
      <c r="A23" s="27" t="s">
        <v>35</v>
      </c>
      <c r="B23" s="4"/>
      <c r="C23" s="4"/>
      <c r="D23" s="4"/>
      <c r="E23" s="5"/>
      <c r="F23" s="5"/>
      <c r="G23" s="5"/>
      <c r="H23" s="4"/>
      <c r="I23" s="4"/>
      <c r="J23" s="4"/>
      <c r="K23" s="4"/>
      <c r="L23" s="4"/>
      <c r="M23" s="74"/>
      <c r="N23" s="74"/>
      <c r="O23" s="74"/>
      <c r="P23" s="5">
        <f t="shared" si="0"/>
        <v>0</v>
      </c>
      <c r="Q23" s="36">
        <f>Attendence!R23 + P23</f>
        <v>8</v>
      </c>
      <c r="R23" s="7">
        <v>8</v>
      </c>
    </row>
    <row r="24" spans="1:23" ht="17.399999999999999" x14ac:dyDescent="0.3">
      <c r="A24" s="27" t="s">
        <v>16</v>
      </c>
      <c r="B24" s="4"/>
      <c r="C24" s="4">
        <v>10</v>
      </c>
      <c r="D24" s="4">
        <v>5</v>
      </c>
      <c r="E24" s="5">
        <v>3</v>
      </c>
      <c r="F24" s="5">
        <v>5</v>
      </c>
      <c r="G24" s="5"/>
      <c r="H24" s="4"/>
      <c r="I24" s="4">
        <v>5</v>
      </c>
      <c r="J24" s="4"/>
      <c r="K24" s="4"/>
      <c r="L24" s="4"/>
      <c r="O24" s="4">
        <v>10</v>
      </c>
      <c r="P24" s="5">
        <f t="shared" si="0"/>
        <v>38</v>
      </c>
      <c r="Q24" s="36">
        <f>Attendence!R24 + P24</f>
        <v>56</v>
      </c>
      <c r="R24" s="11">
        <v>56</v>
      </c>
    </row>
    <row r="25" spans="1:23" ht="17.399999999999999" x14ac:dyDescent="0.3">
      <c r="A25" s="27" t="s">
        <v>10</v>
      </c>
      <c r="B25" s="4"/>
      <c r="C25" s="5">
        <v>3</v>
      </c>
      <c r="D25" s="5"/>
      <c r="E25" s="5">
        <v>5</v>
      </c>
      <c r="F25" s="5"/>
      <c r="G25" s="5"/>
      <c r="H25" s="4">
        <v>5</v>
      </c>
      <c r="I25" s="5">
        <v>7</v>
      </c>
      <c r="J25" s="5"/>
      <c r="K25" s="5"/>
      <c r="L25" s="5">
        <v>5</v>
      </c>
      <c r="M25" s="4"/>
      <c r="N25" s="4">
        <v>5</v>
      </c>
      <c r="O25" s="5">
        <v>7</v>
      </c>
      <c r="P25" s="5">
        <f t="shared" si="0"/>
        <v>37</v>
      </c>
      <c r="Q25" s="36">
        <f>Attendence!R25 + P25</f>
        <v>57</v>
      </c>
      <c r="R25" s="17">
        <v>57</v>
      </c>
    </row>
    <row r="26" spans="1:23" ht="17.399999999999999" x14ac:dyDescent="0.3">
      <c r="A26" s="25" t="s">
        <v>36</v>
      </c>
      <c r="B26" s="4"/>
      <c r="C26" s="4"/>
      <c r="D26" s="4"/>
      <c r="E26" s="5"/>
      <c r="F26" s="5"/>
      <c r="G26" s="5"/>
      <c r="H26" s="4"/>
      <c r="I26" s="4"/>
      <c r="J26" s="4"/>
      <c r="K26" s="4"/>
      <c r="L26" s="4"/>
      <c r="M26" s="74"/>
      <c r="N26" s="74"/>
      <c r="O26" s="74"/>
      <c r="P26" s="5">
        <f t="shared" si="0"/>
        <v>0</v>
      </c>
      <c r="Q26" s="36">
        <f>Attendence!R26 + P26</f>
        <v>10</v>
      </c>
      <c r="R26" s="6">
        <v>10</v>
      </c>
    </row>
    <row r="27" spans="1:23" ht="17.399999999999999" x14ac:dyDescent="0.3">
      <c r="A27" s="26" t="s">
        <v>21</v>
      </c>
      <c r="B27" s="4"/>
      <c r="C27" s="4"/>
      <c r="D27" s="4"/>
      <c r="E27" s="5"/>
      <c r="F27" s="5">
        <v>10</v>
      </c>
      <c r="G27" s="5"/>
      <c r="H27" s="4"/>
      <c r="I27" s="4"/>
      <c r="J27" s="5">
        <v>3</v>
      </c>
      <c r="K27" s="5"/>
      <c r="L27" s="5"/>
      <c r="M27" s="74"/>
      <c r="N27" s="74"/>
      <c r="O27" s="74"/>
      <c r="P27" s="5">
        <f t="shared" si="0"/>
        <v>13</v>
      </c>
      <c r="Q27" s="36">
        <f>Attendence!R27 + P27</f>
        <v>25</v>
      </c>
      <c r="R27" s="12">
        <v>25</v>
      </c>
    </row>
    <row r="28" spans="1:23" ht="17.399999999999999" x14ac:dyDescent="0.3">
      <c r="A28" s="26" t="s">
        <v>37</v>
      </c>
      <c r="B28" s="4"/>
      <c r="C28" s="4"/>
      <c r="D28" s="4"/>
      <c r="E28" s="5"/>
      <c r="F28" s="5"/>
      <c r="G28" s="5"/>
      <c r="H28" s="4"/>
      <c r="I28" s="4"/>
      <c r="J28" s="4">
        <v>10</v>
      </c>
      <c r="K28" s="4"/>
      <c r="L28" s="4"/>
      <c r="M28" s="74"/>
      <c r="N28" s="74"/>
      <c r="O28" s="74"/>
      <c r="P28" s="5">
        <f t="shared" si="0"/>
        <v>10</v>
      </c>
      <c r="Q28" s="36">
        <f>Attendence!R28 + P28</f>
        <v>18</v>
      </c>
      <c r="R28" s="16">
        <v>18</v>
      </c>
    </row>
    <row r="29" spans="1:23" ht="17.399999999999999" x14ac:dyDescent="0.3">
      <c r="A29" s="27" t="s">
        <v>11</v>
      </c>
      <c r="B29" s="4"/>
      <c r="C29" s="4"/>
      <c r="D29" s="4"/>
      <c r="E29" s="5"/>
      <c r="G29" s="5"/>
      <c r="H29" s="5"/>
      <c r="I29" s="5"/>
      <c r="J29" s="5"/>
      <c r="K29" s="5"/>
      <c r="L29" s="5">
        <v>7</v>
      </c>
      <c r="M29" s="4">
        <v>5</v>
      </c>
      <c r="N29" s="4"/>
      <c r="O29" s="4"/>
      <c r="P29" s="5">
        <f t="shared" si="0"/>
        <v>12</v>
      </c>
      <c r="Q29" s="36">
        <f>Attendence!R29 + P29</f>
        <v>22</v>
      </c>
      <c r="R29" s="7">
        <v>22</v>
      </c>
    </row>
    <row r="30" spans="1:23" ht="17.399999999999999" x14ac:dyDescent="0.3">
      <c r="A30" s="26" t="s">
        <v>38</v>
      </c>
      <c r="B30" s="4"/>
      <c r="C30" s="4"/>
      <c r="D30" s="4"/>
      <c r="E30" s="5"/>
      <c r="F30" s="5"/>
      <c r="G30" s="5"/>
      <c r="H30" s="4"/>
      <c r="I30" s="4"/>
      <c r="J30" s="4"/>
      <c r="K30" s="4"/>
      <c r="L30" s="4"/>
      <c r="M30" s="5">
        <v>3</v>
      </c>
      <c r="N30" s="5"/>
      <c r="O30" s="5"/>
      <c r="P30" s="5">
        <f t="shared" si="0"/>
        <v>3</v>
      </c>
      <c r="Q30" s="36">
        <f>Attendence!R30 + P30</f>
        <v>11</v>
      </c>
      <c r="R30" s="12">
        <v>11</v>
      </c>
    </row>
    <row r="31" spans="1:23" ht="17.399999999999999" x14ac:dyDescent="0.3">
      <c r="A31" s="27" t="s">
        <v>39</v>
      </c>
      <c r="B31" s="5"/>
      <c r="C31" s="5">
        <v>7</v>
      </c>
      <c r="D31" s="5">
        <v>5</v>
      </c>
      <c r="E31" s="5">
        <v>3</v>
      </c>
      <c r="F31" s="5">
        <v>7</v>
      </c>
      <c r="G31" s="5"/>
      <c r="H31" s="4">
        <v>10</v>
      </c>
      <c r="I31" s="5">
        <v>7</v>
      </c>
      <c r="J31" s="5">
        <v>3</v>
      </c>
      <c r="K31" s="5"/>
      <c r="L31" s="5"/>
      <c r="M31" s="74"/>
      <c r="N31" s="4">
        <v>10</v>
      </c>
      <c r="O31" s="5">
        <v>7</v>
      </c>
      <c r="P31" s="5">
        <f t="shared" si="0"/>
        <v>59</v>
      </c>
      <c r="Q31" s="36">
        <f>Attendence!R31 + P31</f>
        <v>83</v>
      </c>
      <c r="R31" s="16">
        <v>83</v>
      </c>
    </row>
    <row r="32" spans="1:23" ht="17.399999999999999" x14ac:dyDescent="0.3">
      <c r="A32" s="25" t="s">
        <v>40</v>
      </c>
      <c r="B32" s="4"/>
      <c r="C32" s="4"/>
      <c r="D32" s="4"/>
      <c r="E32" s="5"/>
      <c r="F32" s="5">
        <v>3</v>
      </c>
      <c r="G32" s="5"/>
      <c r="H32" s="5"/>
      <c r="I32" s="5"/>
      <c r="J32" s="5"/>
      <c r="K32" s="5"/>
      <c r="L32" s="5"/>
      <c r="M32" s="74"/>
      <c r="N32" s="74">
        <v>3</v>
      </c>
      <c r="O32" s="74"/>
      <c r="P32" s="5">
        <f t="shared" si="0"/>
        <v>6</v>
      </c>
      <c r="Q32" s="36">
        <f>Attendence!R32 + P32</f>
        <v>12</v>
      </c>
      <c r="R32" s="6">
        <v>12</v>
      </c>
    </row>
    <row r="33" spans="1:18" ht="17.399999999999999" x14ac:dyDescent="0.3">
      <c r="A33" s="29" t="s">
        <v>41</v>
      </c>
      <c r="B33" s="4"/>
      <c r="C33" s="4"/>
      <c r="D33" s="4"/>
      <c r="E33" s="5">
        <v>5</v>
      </c>
      <c r="F33" s="5"/>
      <c r="G33" s="5"/>
      <c r="H33" s="4"/>
      <c r="I33" s="5">
        <v>3</v>
      </c>
      <c r="J33" s="4">
        <v>10</v>
      </c>
      <c r="K33" s="4"/>
      <c r="L33" s="4">
        <v>3</v>
      </c>
      <c r="M33" s="5"/>
      <c r="N33" s="5">
        <v>3</v>
      </c>
      <c r="O33" s="5"/>
      <c r="P33" s="5">
        <f t="shared" si="0"/>
        <v>24</v>
      </c>
      <c r="Q33" s="36">
        <f>Attendence!R33 + P33</f>
        <v>42</v>
      </c>
      <c r="R33" s="16">
        <v>42</v>
      </c>
    </row>
    <row r="34" spans="1:18" ht="17.399999999999999" x14ac:dyDescent="0.3">
      <c r="A34" s="26" t="s">
        <v>12</v>
      </c>
      <c r="B34" s="8"/>
      <c r="C34" s="4">
        <v>10</v>
      </c>
      <c r="D34" s="4">
        <v>7</v>
      </c>
      <c r="E34" s="5"/>
      <c r="F34" s="5"/>
      <c r="G34" s="5"/>
      <c r="H34" s="5">
        <v>7</v>
      </c>
      <c r="I34" s="4">
        <v>10</v>
      </c>
      <c r="J34" s="5">
        <v>7</v>
      </c>
      <c r="K34" s="5"/>
      <c r="L34" s="4"/>
      <c r="M34" s="4">
        <v>5</v>
      </c>
      <c r="N34" s="5">
        <v>7</v>
      </c>
      <c r="O34" s="4">
        <v>5</v>
      </c>
      <c r="P34" s="5">
        <f t="shared" si="0"/>
        <v>58</v>
      </c>
      <c r="Q34" s="36">
        <f>Attendence!R34 + P34</f>
        <v>80</v>
      </c>
      <c r="R34" s="6">
        <v>80</v>
      </c>
    </row>
    <row r="35" spans="1:18" ht="18" x14ac:dyDescent="0.35">
      <c r="A35" s="27" t="s">
        <v>4</v>
      </c>
      <c r="B35" s="8"/>
      <c r="C35" s="8"/>
      <c r="D35" s="48">
        <v>10</v>
      </c>
      <c r="E35" s="5">
        <v>3</v>
      </c>
      <c r="F35" s="5">
        <v>5</v>
      </c>
      <c r="G35" s="5"/>
      <c r="H35" s="4"/>
      <c r="I35" s="4">
        <v>5</v>
      </c>
      <c r="J35" s="4"/>
      <c r="K35" s="4">
        <v>5</v>
      </c>
      <c r="L35" s="4"/>
      <c r="M35" s="5">
        <v>7</v>
      </c>
      <c r="N35" s="4">
        <v>15</v>
      </c>
      <c r="O35" s="4">
        <v>10</v>
      </c>
      <c r="P35" s="5">
        <f t="shared" si="0"/>
        <v>60</v>
      </c>
      <c r="Q35" s="36">
        <f>Attendence!R35 + P35</f>
        <v>84</v>
      </c>
      <c r="R35" s="7">
        <v>84</v>
      </c>
    </row>
    <row r="36" spans="1:18" ht="17.399999999999999" x14ac:dyDescent="0.3">
      <c r="A36" s="27" t="s">
        <v>13</v>
      </c>
      <c r="B36" s="5">
        <v>3</v>
      </c>
      <c r="C36" s="8"/>
      <c r="D36" s="8"/>
      <c r="E36" s="5"/>
      <c r="F36" s="5"/>
      <c r="G36" s="5"/>
      <c r="H36" s="8"/>
      <c r="I36" s="8"/>
      <c r="J36" s="8"/>
      <c r="K36" s="8"/>
      <c r="L36" s="4">
        <v>3</v>
      </c>
      <c r="M36" s="4">
        <v>5</v>
      </c>
      <c r="N36" s="4">
        <v>5</v>
      </c>
      <c r="O36" s="4"/>
      <c r="P36" s="5">
        <f t="shared" si="0"/>
        <v>16</v>
      </c>
      <c r="Q36" s="36">
        <f>Attendence!R36 + P36</f>
        <v>26</v>
      </c>
      <c r="R36" s="17">
        <v>26</v>
      </c>
    </row>
    <row r="37" spans="1:18" ht="17.399999999999999" x14ac:dyDescent="0.3">
      <c r="A37" s="27" t="s">
        <v>14</v>
      </c>
      <c r="B37" s="5"/>
      <c r="C37" s="8"/>
      <c r="D37" s="8"/>
      <c r="E37" s="5"/>
      <c r="F37" s="5"/>
      <c r="G37" s="5"/>
      <c r="H37" s="8"/>
      <c r="I37" s="8"/>
      <c r="J37" s="8"/>
      <c r="K37" s="8"/>
      <c r="L37" s="4"/>
      <c r="M37" s="74"/>
      <c r="N37" s="74"/>
      <c r="O37" s="74"/>
      <c r="P37" s="5">
        <f t="shared" si="0"/>
        <v>0</v>
      </c>
      <c r="Q37" s="36">
        <f>Attendence!R37 + P37</f>
        <v>0</v>
      </c>
      <c r="R37" s="17">
        <v>0</v>
      </c>
    </row>
    <row r="38" spans="1:18" ht="17.399999999999999" x14ac:dyDescent="0.3">
      <c r="A38" s="27" t="s">
        <v>42</v>
      </c>
      <c r="B38" s="5"/>
      <c r="C38" s="5">
        <v>3</v>
      </c>
      <c r="D38" s="5">
        <v>3</v>
      </c>
      <c r="E38" s="5"/>
      <c r="F38" s="5"/>
      <c r="G38" s="5"/>
      <c r="H38" s="5">
        <v>3</v>
      </c>
      <c r="I38" s="5">
        <v>3</v>
      </c>
      <c r="J38" s="4">
        <v>10</v>
      </c>
      <c r="K38" s="4"/>
      <c r="L38" s="4">
        <v>5</v>
      </c>
      <c r="M38" s="5">
        <v>3</v>
      </c>
      <c r="N38" s="5"/>
      <c r="O38" s="74">
        <v>3</v>
      </c>
      <c r="P38" s="5">
        <f t="shared" si="0"/>
        <v>33</v>
      </c>
      <c r="Q38" s="36">
        <f>Attendence!R38 + P38</f>
        <v>61</v>
      </c>
      <c r="R38" s="11">
        <v>61</v>
      </c>
    </row>
    <row r="39" spans="1:18" x14ac:dyDescent="0.3">
      <c r="B39" s="19"/>
      <c r="C39" s="19"/>
      <c r="D39" s="19"/>
      <c r="E39" s="19"/>
      <c r="F39" s="53"/>
      <c r="G39" s="19"/>
      <c r="H39" s="19"/>
      <c r="I39" s="19"/>
      <c r="J39" s="19"/>
      <c r="K39" s="19"/>
      <c r="L39" s="19"/>
    </row>
    <row r="40" spans="1:18" ht="20.399999999999999" x14ac:dyDescent="0.3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P40" s="20"/>
      <c r="Q40" s="20"/>
    </row>
    <row r="41" spans="1:18" ht="20.399999999999999" x14ac:dyDescent="0.3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P41" s="21"/>
      <c r="Q41" s="21"/>
    </row>
    <row r="42" spans="1:18" ht="20.399999999999999" x14ac:dyDescent="0.3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P42" s="21"/>
      <c r="Q42" s="21"/>
    </row>
    <row r="43" spans="1:18" ht="20.399999999999999" x14ac:dyDescent="0.3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P43" s="21"/>
      <c r="Q43" s="21"/>
    </row>
    <row r="44" spans="1:18" ht="20.399999999999999" x14ac:dyDescent="0.3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P44" s="21"/>
      <c r="Q44" s="21"/>
    </row>
    <row r="45" spans="1:18" ht="20.399999999999999" x14ac:dyDescent="0.35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P45" s="21"/>
    </row>
    <row r="46" spans="1:18" ht="20.399999999999999" x14ac:dyDescent="0.35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P46" s="21"/>
    </row>
    <row r="47" spans="1:18" ht="20.399999999999999" x14ac:dyDescent="0.35">
      <c r="B47" s="21"/>
      <c r="C47" s="21"/>
      <c r="D47" s="21"/>
      <c r="E47" s="21"/>
      <c r="F47" s="21"/>
      <c r="P47" s="21"/>
    </row>
    <row r="48" spans="1:18" x14ac:dyDescent="0.3">
      <c r="F48"/>
    </row>
    <row r="49" spans="6:11" x14ac:dyDescent="0.3">
      <c r="F49"/>
    </row>
    <row r="50" spans="6:11" ht="20.399999999999999" x14ac:dyDescent="0.35">
      <c r="F50"/>
      <c r="H50" s="20"/>
      <c r="I50" s="20"/>
      <c r="J50" s="20"/>
      <c r="K50" s="20"/>
    </row>
    <row r="51" spans="6:11" ht="20.399999999999999" x14ac:dyDescent="0.35">
      <c r="H51" s="21"/>
      <c r="I51" s="21"/>
      <c r="J51" s="21"/>
      <c r="K51" s="21"/>
    </row>
    <row r="52" spans="6:11" ht="20.399999999999999" x14ac:dyDescent="0.35">
      <c r="H52" s="21"/>
      <c r="I52" s="21"/>
      <c r="J52" s="21"/>
      <c r="K52" s="21"/>
    </row>
    <row r="53" spans="6:11" ht="20.399999999999999" x14ac:dyDescent="0.35">
      <c r="H53" s="21"/>
      <c r="I53" s="21"/>
      <c r="J53" s="21"/>
      <c r="K53" s="21"/>
    </row>
    <row r="54" spans="6:11" ht="20.399999999999999" x14ac:dyDescent="0.35">
      <c r="H54" s="21"/>
      <c r="I54" s="21"/>
      <c r="J54" s="21"/>
      <c r="K54" s="21"/>
    </row>
    <row r="55" spans="6:11" ht="20.399999999999999" x14ac:dyDescent="0.35">
      <c r="H55" s="21"/>
      <c r="I55" s="21"/>
      <c r="J55" s="21"/>
      <c r="K55" s="21"/>
    </row>
    <row r="56" spans="6:11" ht="20.399999999999999" x14ac:dyDescent="0.35">
      <c r="H56" s="21"/>
      <c r="I56" s="21"/>
      <c r="J56" s="21"/>
      <c r="K56" s="21"/>
    </row>
  </sheetData>
  <autoFilter ref="A1:R38" xr:uid="{3ACD59D5-C6C7-46EB-8A2D-E0680E076DC6}"/>
  <sortState xmlns:xlrd2="http://schemas.microsoft.com/office/spreadsheetml/2017/richdata2" ref="U10:V15">
    <sortCondition descending="1" ref="V10:V15"/>
  </sortState>
  <pageMargins left="0.7" right="0.7" top="0.75" bottom="0.75" header="0.3" footer="0.3"/>
  <pageSetup paperSize="8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DF21-1A18-45E7-A71D-EFA992E5FED6}">
  <dimension ref="A1:N6"/>
  <sheetViews>
    <sheetView workbookViewId="0">
      <selection activeCell="H16" sqref="H16"/>
    </sheetView>
  </sheetViews>
  <sheetFormatPr defaultRowHeight="14.4" x14ac:dyDescent="0.3"/>
  <cols>
    <col min="1" max="1" width="19.6640625" bestFit="1" customWidth="1"/>
    <col min="2" max="2" width="8.6640625" bestFit="1" customWidth="1"/>
    <col min="3" max="3" width="9.6640625" customWidth="1"/>
    <col min="4" max="4" width="9.6640625" bestFit="1" customWidth="1"/>
    <col min="5" max="7" width="15" bestFit="1" customWidth="1"/>
    <col min="8" max="8" width="13.6640625" bestFit="1" customWidth="1"/>
    <col min="9" max="9" width="14.88671875" bestFit="1" customWidth="1"/>
  </cols>
  <sheetData>
    <row r="1" spans="1:14" x14ac:dyDescent="0.3">
      <c r="A1" s="50"/>
      <c r="B1" s="51">
        <v>46211</v>
      </c>
      <c r="C1" s="52">
        <v>46219</v>
      </c>
      <c r="D1" s="52">
        <v>46226</v>
      </c>
      <c r="E1" s="52">
        <v>46233</v>
      </c>
      <c r="F1" s="52">
        <v>46254</v>
      </c>
      <c r="G1" s="52">
        <v>46261</v>
      </c>
      <c r="H1" s="51">
        <v>46275</v>
      </c>
      <c r="I1" s="51">
        <v>46282</v>
      </c>
      <c r="J1" s="50"/>
      <c r="K1" s="50"/>
      <c r="L1" s="50"/>
      <c r="M1" s="50"/>
      <c r="N1" s="50"/>
    </row>
    <row r="2" spans="1:14" x14ac:dyDescent="0.3">
      <c r="A2" s="50" t="s">
        <v>55</v>
      </c>
      <c r="B2" s="50" t="s">
        <v>66</v>
      </c>
      <c r="C2" s="50" t="s">
        <v>56</v>
      </c>
      <c r="D2" s="50" t="s">
        <v>57</v>
      </c>
      <c r="E2" s="50" t="s">
        <v>68</v>
      </c>
      <c r="F2" s="50" t="s">
        <v>72</v>
      </c>
      <c r="G2" s="50" t="s">
        <v>71</v>
      </c>
      <c r="H2" s="50" t="s">
        <v>79</v>
      </c>
      <c r="I2" s="50" t="s">
        <v>69</v>
      </c>
      <c r="J2" s="50"/>
      <c r="K2" s="50"/>
      <c r="L2" s="50"/>
      <c r="M2" s="50"/>
      <c r="N2" s="50"/>
    </row>
    <row r="3" spans="1:14" x14ac:dyDescent="0.3">
      <c r="A3" s="50" t="s">
        <v>58</v>
      </c>
      <c r="B3" s="50" t="s">
        <v>67</v>
      </c>
      <c r="C3" s="50" t="s">
        <v>59</v>
      </c>
      <c r="D3" s="50" t="s">
        <v>59</v>
      </c>
      <c r="E3" s="50" t="s">
        <v>57</v>
      </c>
      <c r="F3" s="50" t="s">
        <v>71</v>
      </c>
      <c r="G3" s="50" t="s">
        <v>68</v>
      </c>
      <c r="H3" s="50" t="s">
        <v>59</v>
      </c>
      <c r="I3" s="50" t="s">
        <v>81</v>
      </c>
      <c r="J3" s="50"/>
      <c r="K3" s="50"/>
      <c r="L3" s="50"/>
      <c r="M3" s="50"/>
      <c r="N3" s="50"/>
    </row>
    <row r="4" spans="1:14" x14ac:dyDescent="0.3">
      <c r="A4" s="50" t="s">
        <v>60</v>
      </c>
      <c r="B4" s="50" t="s">
        <v>6</v>
      </c>
      <c r="C4" s="50" t="s">
        <v>61</v>
      </c>
      <c r="D4" s="50" t="s">
        <v>61</v>
      </c>
      <c r="E4" s="50" t="s">
        <v>64</v>
      </c>
      <c r="F4" s="50" t="s">
        <v>59</v>
      </c>
      <c r="G4" s="50" t="s">
        <v>72</v>
      </c>
      <c r="H4" s="50" t="s">
        <v>80</v>
      </c>
      <c r="I4" s="50" t="s">
        <v>61</v>
      </c>
      <c r="J4" s="50"/>
      <c r="K4" s="50"/>
      <c r="L4" s="50"/>
      <c r="M4" s="50"/>
      <c r="N4" s="50"/>
    </row>
    <row r="5" spans="1:14" x14ac:dyDescent="0.3">
      <c r="A5" s="50" t="s">
        <v>62</v>
      </c>
      <c r="B5" s="50" t="s">
        <v>20</v>
      </c>
      <c r="C5" s="50" t="s">
        <v>63</v>
      </c>
      <c r="D5" s="50" t="s">
        <v>64</v>
      </c>
      <c r="E5" s="50" t="s">
        <v>69</v>
      </c>
      <c r="F5" s="50" t="s">
        <v>71</v>
      </c>
      <c r="G5" s="50" t="s">
        <v>61</v>
      </c>
      <c r="H5" s="50" t="s">
        <v>78</v>
      </c>
      <c r="I5" s="50" t="s">
        <v>82</v>
      </c>
      <c r="J5" s="50"/>
      <c r="K5" s="50"/>
      <c r="L5" s="50"/>
      <c r="M5" s="50"/>
      <c r="N5" s="50"/>
    </row>
    <row r="6" spans="1:14" x14ac:dyDescent="0.3">
      <c r="A6" s="50" t="s">
        <v>65</v>
      </c>
      <c r="B6" s="50" t="s">
        <v>56</v>
      </c>
      <c r="C6" s="50" t="s">
        <v>66</v>
      </c>
      <c r="D6" s="50" t="s">
        <v>63</v>
      </c>
      <c r="E6" s="50" t="s">
        <v>61</v>
      </c>
      <c r="F6" s="50" t="s">
        <v>73</v>
      </c>
      <c r="G6" s="50" t="s">
        <v>66</v>
      </c>
      <c r="H6" s="50" t="s">
        <v>77</v>
      </c>
      <c r="I6" s="50" t="s">
        <v>59</v>
      </c>
      <c r="J6" s="50"/>
      <c r="K6" s="50"/>
      <c r="L6" s="50"/>
      <c r="M6" s="50"/>
      <c r="N6" s="50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347614d-8a51-4dfe-8bf7-16d51e6f6db8}" enabled="0" method="" siteId="{b347614d-8a51-4dfe-8bf7-16d51e6f6db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Attendence</vt:lpstr>
      <vt:lpstr>Role Takers</vt:lpstr>
      <vt:lpstr>Role Takers (points)</vt:lpstr>
      <vt:lpstr>Buddy Olympics</vt:lpstr>
      <vt:lpstr>People Choice 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KI, Sayeed</dc:creator>
  <cp:lastModifiedBy>MS, Sathwik</cp:lastModifiedBy>
  <cp:lastPrinted>2026-01-05T10:25:47Z</cp:lastPrinted>
  <dcterms:created xsi:type="dcterms:W3CDTF">2015-06-05T18:17:20Z</dcterms:created>
  <dcterms:modified xsi:type="dcterms:W3CDTF">2026-10-05T05:06:59Z</dcterms:modified>
</cp:coreProperties>
</file>